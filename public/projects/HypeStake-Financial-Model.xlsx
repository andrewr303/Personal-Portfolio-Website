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2bbb8ec9bc7183b/HypeStake/"/>
    </mc:Choice>
  </mc:AlternateContent>
  <xr:revisionPtr revIDLastSave="5" documentId="13_ncr:1_{EAE1CA1E-1F5A-4467-A74C-F1E5E10B17D4}" xr6:coauthVersionLast="47" xr6:coauthVersionMax="47" xr10:uidLastSave="{265F7036-F7A0-499A-8B3A-36EAE3A2936F}"/>
  <bookViews>
    <workbookView xWindow="-110" yWindow="-110" windowWidth="24220" windowHeight="15500" firstSheet="1" activeTab="1" xr2:uid="{282425AE-E18C-4364-9D87-5E78B22CE23C}"/>
  </bookViews>
  <sheets>
    <sheet name="Dashboard" sheetId="10" state="hidden" r:id="rId1"/>
    <sheet name="Assumptions" sheetId="19" r:id="rId2"/>
    <sheet name="Income Statement" sheetId="21" r:id="rId3"/>
    <sheet name="Operating Expenses" sheetId="32" r:id="rId4"/>
    <sheet name="Balance Sheet" sheetId="22" r:id="rId5"/>
    <sheet name="Cash Flow Statement" sheetId="36" r:id="rId6"/>
    <sheet name="Personnel" sheetId="30" r:id="rId7"/>
    <sheet name="Rev Model Assumptions" sheetId="3" r:id="rId8"/>
    <sheet name="Cost of Revenue" sheetId="31" r:id="rId9"/>
    <sheet name="API Costs" sheetId="33" r:id="rId10"/>
    <sheet name="LLM Costs" sheetId="34" r:id="rId11"/>
    <sheet name="Yearly Summary" sheetId="5" r:id="rId12"/>
    <sheet name="Statement of Retained Earnings" sheetId="35" r:id="rId13"/>
    <sheet name="Unit Economics" sheetId="24" r:id="rId14"/>
    <sheet name="Break-Even" sheetId="25" r:id="rId15"/>
    <sheet name="Funding" sheetId="26" r:id="rId16"/>
    <sheet name="Summary" sheetId="28" r:id="rId17"/>
    <sheet name="Scenario_Analysis" sheetId="7" state="hidden" r:id="rId18"/>
    <sheet name="TAM" sheetId="13" state="hidden" r:id="rId19"/>
  </sheets>
  <definedNames>
    <definedName name="ChatCAC">'Rev Model Assumptions'!$C$8</definedName>
    <definedName name="ChatChurn">'Rev Model Assumptions'!$C$12</definedName>
    <definedName name="ChatPrice">'Rev Model Assumptions'!$C$4</definedName>
    <definedName name="EntCAC">'Rev Model Assumptions'!$C$10</definedName>
    <definedName name="EntPrice">'Rev Model Assumptions'!$C$6</definedName>
    <definedName name="_xlnm.Print_Area" localSheetId="3">'Operating Expenses'!$A$1:$K$36</definedName>
    <definedName name="ProCAC">'Rev Model Assumptions'!$C$9</definedName>
    <definedName name="ProChurn">'Rev Model Assumptions'!$C$13</definedName>
    <definedName name="ProPrice">'Rev Model Assumptions'!$C$5</definedName>
    <definedName name="solver_cvg" localSheetId="11" hidden="1">0.0001</definedName>
    <definedName name="solver_drv" localSheetId="11" hidden="1">1</definedName>
    <definedName name="solver_eng" localSheetId="7" hidden="1">1</definedName>
    <definedName name="solver_eng" localSheetId="11" hidden="1">1</definedName>
    <definedName name="solver_est" localSheetId="11" hidden="1">1</definedName>
    <definedName name="solver_itr" localSheetId="11" hidden="1">2147483647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7" hidden="1">1</definedName>
    <definedName name="solver_neg" localSheetId="11" hidden="1">1</definedName>
    <definedName name="solver_nod" localSheetId="11" hidden="1">2147483647</definedName>
    <definedName name="solver_num" localSheetId="7" hidden="1">0</definedName>
    <definedName name="solver_num" localSheetId="11" hidden="1">0</definedName>
    <definedName name="solver_nwt" localSheetId="11" hidden="1">1</definedName>
    <definedName name="solver_opt" localSheetId="11" hidden="1">'Yearly Summary'!$B$22</definedName>
    <definedName name="solver_pre" localSheetId="11" hidden="1">0.000001</definedName>
    <definedName name="solver_rbv" localSheetId="11" hidden="1">1</definedName>
    <definedName name="solver_rlx" localSheetId="11" hidden="1">2</definedName>
    <definedName name="solver_rsd" localSheetId="11" hidden="1">0</definedName>
    <definedName name="solver_scl" localSheetId="11" hidden="1">1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7" hidden="1">3</definedName>
    <definedName name="solver_typ" localSheetId="11" hidden="1">3</definedName>
    <definedName name="solver_val" localSheetId="7" hidden="1">1</definedName>
    <definedName name="solver_val" localSheetId="11" hidden="1">1</definedName>
    <definedName name="solver_ver" localSheetId="7" hidden="1">3</definedName>
    <definedName name="solver_ver" localSheetId="11" hidden="1">3</definedName>
    <definedName name="Y1ChatMRR" comment="Y1 CP Revenue">'Yearly Summary'!$B$18</definedName>
    <definedName name="Y1Growth">'Rev Model Assumptions'!$C$18</definedName>
    <definedName name="Y1GrowthPro">'Rev Model Assumptions'!$C$24</definedName>
    <definedName name="Y1ProMRR" comment="Y1 KM Revenue">'Yearly Summary'!$B$19</definedName>
    <definedName name="Y1Revenue">'Yearly Summary'!$B$21</definedName>
    <definedName name="Y2Growth">'Rev Model Assumptions'!$C$19</definedName>
    <definedName name="Y2GrowthEnterprise">'Rev Model Assumptions'!$C$30</definedName>
    <definedName name="Y2GrowthPro">'Rev Model Assumptions'!$C$25</definedName>
    <definedName name="Y2Revenue">'Yearly Summary'!$C$21</definedName>
    <definedName name="Y3Growth">'Rev Model Assumptions'!$C$20</definedName>
    <definedName name="Y3GrowthEnterprise">'Rev Model Assumptions'!$C$31</definedName>
    <definedName name="Y3GrowthPro">'Rev Model Assumptions'!$C$26</definedName>
    <definedName name="Y3Revenue">'Yearly Summary'!$D$21</definedName>
    <definedName name="Y4Growth">'Rev Model Assumptions'!$C$21</definedName>
    <definedName name="Y4GrowthEnterprise">'Rev Model Assumptions'!$C$32</definedName>
    <definedName name="Y4GrowthPro">'Rev Model Assumptions'!$C$27</definedName>
    <definedName name="Y4Revenue">'Yearly Summary'!$E$21</definedName>
    <definedName name="Y5Growth">'Rev Model Assumptions'!$C$22</definedName>
    <definedName name="Y5GrowthEnterprise">'Rev Model Assumptions'!$C$33</definedName>
    <definedName name="Y5GrowthPro">'Rev Model Assumptions'!$C$28</definedName>
    <definedName name="Y5Revenue">'Yearly Summary'!$F$21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6" l="1"/>
  <c r="C13" i="26"/>
  <c r="B13" i="26"/>
  <c r="D29" i="10"/>
  <c r="B29" i="10"/>
  <c r="G14" i="28"/>
  <c r="F14" i="28"/>
  <c r="E14" i="28"/>
  <c r="D14" i="28"/>
  <c r="C14" i="28"/>
  <c r="B14" i="28"/>
  <c r="B13" i="28"/>
  <c r="G12" i="28"/>
  <c r="F12" i="28"/>
  <c r="E12" i="28"/>
  <c r="D12" i="28"/>
  <c r="C12" i="28"/>
  <c r="B12" i="28"/>
  <c r="G11" i="28"/>
  <c r="E11" i="28"/>
  <c r="C11" i="28"/>
  <c r="B11" i="28"/>
  <c r="F9" i="28"/>
  <c r="E9" i="28"/>
  <c r="D9" i="28"/>
  <c r="C9" i="28"/>
  <c r="B9" i="28"/>
  <c r="G9" i="28" s="1"/>
  <c r="F8" i="28"/>
  <c r="E8" i="28"/>
  <c r="D8" i="28"/>
  <c r="C8" i="28"/>
  <c r="B8" i="28"/>
  <c r="G8" i="28" s="1"/>
  <c r="F7" i="28"/>
  <c r="E7" i="28"/>
  <c r="D7" i="28"/>
  <c r="C7" i="28"/>
  <c r="B7" i="28"/>
  <c r="G7" i="28" s="1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5" i="7"/>
  <c r="E36" i="7" s="1"/>
  <c r="D35" i="7"/>
  <c r="D36" i="7" s="1"/>
  <c r="C35" i="7"/>
  <c r="C36" i="7" s="1"/>
  <c r="B35" i="7"/>
  <c r="B36" i="7" s="1"/>
  <c r="E34" i="7"/>
  <c r="D34" i="7"/>
  <c r="D48" i="7" s="1"/>
  <c r="D49" i="7" s="1"/>
  <c r="D50" i="7" s="1"/>
  <c r="C34" i="7"/>
  <c r="C48" i="7" s="1"/>
  <c r="C49" i="7" s="1"/>
  <c r="C50" i="7" s="1"/>
  <c r="B34" i="7"/>
  <c r="B48" i="7" s="1"/>
  <c r="B49" i="7" s="1"/>
  <c r="B50" i="7" s="1"/>
  <c r="E30" i="7"/>
  <c r="D30" i="7"/>
  <c r="C30" i="7"/>
  <c r="B30" i="7"/>
  <c r="E29" i="7"/>
  <c r="D29" i="7"/>
  <c r="C29" i="7"/>
  <c r="B29" i="7"/>
  <c r="E26" i="7"/>
  <c r="D26" i="7"/>
  <c r="C26" i="7"/>
  <c r="B26" i="7"/>
  <c r="E25" i="7"/>
  <c r="D25" i="7"/>
  <c r="C25" i="7"/>
  <c r="B25" i="7"/>
  <c r="E22" i="7"/>
  <c r="D22" i="7"/>
  <c r="C22" i="7"/>
  <c r="B22" i="7"/>
  <c r="E21" i="7"/>
  <c r="D21" i="7"/>
  <c r="C21" i="7"/>
  <c r="B21" i="7"/>
  <c r="E18" i="7"/>
  <c r="D18" i="7"/>
  <c r="C18" i="7"/>
  <c r="B18" i="7"/>
  <c r="E17" i="7"/>
  <c r="D17" i="7"/>
  <c r="C17" i="7"/>
  <c r="B17" i="7"/>
  <c r="E14" i="7"/>
  <c r="D14" i="7"/>
  <c r="C14" i="7"/>
  <c r="B14" i="7"/>
  <c r="E13" i="7"/>
  <c r="D13" i="7"/>
  <c r="C13" i="7"/>
  <c r="B13" i="7"/>
  <c r="E62" i="36"/>
  <c r="E61" i="36"/>
  <c r="E60" i="36"/>
  <c r="F56" i="36"/>
  <c r="E56" i="36"/>
  <c r="D56" i="36"/>
  <c r="C56" i="36"/>
  <c r="B56" i="36"/>
  <c r="F55" i="36"/>
  <c r="E55" i="36"/>
  <c r="D55" i="36"/>
  <c r="C55" i="36"/>
  <c r="B55" i="36"/>
  <c r="F54" i="36"/>
  <c r="E54" i="36"/>
  <c r="D54" i="36"/>
  <c r="C54" i="36"/>
  <c r="B54" i="36"/>
  <c r="F37" i="22"/>
  <c r="E37" i="22"/>
  <c r="D37" i="22"/>
  <c r="C37" i="22"/>
  <c r="B37" i="22"/>
  <c r="F23" i="21"/>
  <c r="E23" i="21"/>
  <c r="D23" i="21"/>
  <c r="C23" i="21"/>
  <c r="B23" i="21"/>
  <c r="F22" i="21"/>
  <c r="E22" i="21"/>
  <c r="D22" i="21"/>
  <c r="C22" i="21"/>
  <c r="B22" i="21"/>
  <c r="F13" i="36"/>
  <c r="E13" i="36"/>
  <c r="D13" i="36"/>
  <c r="C13" i="36"/>
  <c r="B13" i="36"/>
  <c r="F27" i="36"/>
  <c r="E27" i="36"/>
  <c r="D27" i="36"/>
  <c r="C27" i="36"/>
  <c r="B27" i="36"/>
  <c r="F17" i="22"/>
  <c r="E17" i="22"/>
  <c r="D17" i="22"/>
  <c r="C17" i="22"/>
  <c r="B17" i="22"/>
  <c r="B30" i="32"/>
  <c r="N42" i="30"/>
  <c r="M42" i="30"/>
  <c r="L42" i="30"/>
  <c r="K42" i="30"/>
  <c r="J42" i="30"/>
  <c r="N41" i="30"/>
  <c r="M41" i="30"/>
  <c r="L41" i="30"/>
  <c r="K41" i="30"/>
  <c r="J41" i="30"/>
  <c r="N40" i="30"/>
  <c r="M40" i="30"/>
  <c r="M43" i="30" s="1"/>
  <c r="L40" i="30"/>
  <c r="K40" i="30"/>
  <c r="J40" i="30"/>
  <c r="N39" i="30"/>
  <c r="M39" i="30"/>
  <c r="L39" i="30"/>
  <c r="K39" i="30"/>
  <c r="J39" i="30"/>
  <c r="N35" i="30"/>
  <c r="M35" i="30"/>
  <c r="L35" i="30"/>
  <c r="K35" i="30"/>
  <c r="J35" i="30"/>
  <c r="N34" i="30"/>
  <c r="N36" i="30" s="1"/>
  <c r="F23" i="32" s="1"/>
  <c r="M34" i="30"/>
  <c r="L34" i="30"/>
  <c r="L36" i="30" s="1"/>
  <c r="D23" i="32" s="1"/>
  <c r="K34" i="30"/>
  <c r="J34" i="30"/>
  <c r="N33" i="30"/>
  <c r="M33" i="30"/>
  <c r="L33" i="30"/>
  <c r="K33" i="30"/>
  <c r="J33" i="30"/>
  <c r="N29" i="30"/>
  <c r="M29" i="30"/>
  <c r="L29" i="30"/>
  <c r="K29" i="30"/>
  <c r="J29" i="30"/>
  <c r="N28" i="30"/>
  <c r="M28" i="30"/>
  <c r="L28" i="30"/>
  <c r="K28" i="30"/>
  <c r="J28" i="30"/>
  <c r="N27" i="30"/>
  <c r="M27" i="30"/>
  <c r="L27" i="30"/>
  <c r="K27" i="30"/>
  <c r="J27" i="30"/>
  <c r="N26" i="30"/>
  <c r="M26" i="30"/>
  <c r="L26" i="30"/>
  <c r="K26" i="30"/>
  <c r="J26" i="30"/>
  <c r="N22" i="30"/>
  <c r="M22" i="30"/>
  <c r="L22" i="30"/>
  <c r="K22" i="30"/>
  <c r="J22" i="30"/>
  <c r="N21" i="30"/>
  <c r="N23" i="30" s="1"/>
  <c r="M21" i="30"/>
  <c r="M23" i="30" s="1"/>
  <c r="L21" i="30"/>
  <c r="K21" i="30"/>
  <c r="J21" i="30"/>
  <c r="N17" i="30"/>
  <c r="M17" i="30"/>
  <c r="L17" i="30"/>
  <c r="K17" i="30"/>
  <c r="J17" i="30"/>
  <c r="N16" i="30"/>
  <c r="M16" i="30"/>
  <c r="L16" i="30"/>
  <c r="K16" i="30"/>
  <c r="J16" i="30"/>
  <c r="N15" i="30"/>
  <c r="M15" i="30"/>
  <c r="L15" i="30"/>
  <c r="K15" i="30"/>
  <c r="J15" i="30"/>
  <c r="N14" i="30"/>
  <c r="M14" i="30"/>
  <c r="L14" i="30"/>
  <c r="K14" i="30"/>
  <c r="J14" i="30"/>
  <c r="N13" i="30"/>
  <c r="M13" i="30"/>
  <c r="L13" i="30"/>
  <c r="K13" i="30"/>
  <c r="J13" i="30"/>
  <c r="N12" i="30"/>
  <c r="M12" i="30"/>
  <c r="L12" i="30"/>
  <c r="K12" i="30"/>
  <c r="J12" i="30"/>
  <c r="N8" i="30"/>
  <c r="M8" i="30"/>
  <c r="L8" i="30"/>
  <c r="K8" i="30"/>
  <c r="J8" i="30"/>
  <c r="N7" i="30"/>
  <c r="N9" i="30" s="1"/>
  <c r="M7" i="30"/>
  <c r="L7" i="30"/>
  <c r="K7" i="30"/>
  <c r="J7" i="30"/>
  <c r="N6" i="30"/>
  <c r="M6" i="30"/>
  <c r="L6" i="30"/>
  <c r="K6" i="30"/>
  <c r="J6" i="30"/>
  <c r="C36" i="34"/>
  <c r="B41" i="34" s="1"/>
  <c r="B35" i="34"/>
  <c r="B40" i="34" s="1"/>
  <c r="C27" i="34"/>
  <c r="F26" i="3"/>
  <c r="E26" i="3"/>
  <c r="D26" i="3"/>
  <c r="C26" i="3"/>
  <c r="F18" i="24"/>
  <c r="C14" i="10" s="1"/>
  <c r="E18" i="24"/>
  <c r="D18" i="24"/>
  <c r="C18" i="24"/>
  <c r="B18" i="24"/>
  <c r="B26" i="26"/>
  <c r="F7" i="26"/>
  <c r="E7" i="26"/>
  <c r="D7" i="26"/>
  <c r="C7" i="26"/>
  <c r="B7" i="26"/>
  <c r="F6" i="26"/>
  <c r="E6" i="26"/>
  <c r="D6" i="26"/>
  <c r="C6" i="26"/>
  <c r="B6" i="26"/>
  <c r="F5" i="26"/>
  <c r="E5" i="26"/>
  <c r="D5" i="26"/>
  <c r="C5" i="26"/>
  <c r="B5" i="26"/>
  <c r="E33" i="36"/>
  <c r="E36" i="36" s="1"/>
  <c r="C33" i="36"/>
  <c r="C36" i="36" s="1"/>
  <c r="B33" i="36"/>
  <c r="B36" i="36" s="1"/>
  <c r="H6" i="13"/>
  <c r="G6" i="13"/>
  <c r="F6" i="13"/>
  <c r="E6" i="13"/>
  <c r="D6" i="13"/>
  <c r="H5" i="13"/>
  <c r="G5" i="13"/>
  <c r="F5" i="13"/>
  <c r="E5" i="13"/>
  <c r="D5" i="13"/>
  <c r="B14" i="13"/>
  <c r="F33" i="5"/>
  <c r="E33" i="5"/>
  <c r="D33" i="5"/>
  <c r="C33" i="5"/>
  <c r="B33" i="5"/>
  <c r="F30" i="5"/>
  <c r="F27" i="24" s="1"/>
  <c r="E30" i="5"/>
  <c r="E27" i="24" s="1"/>
  <c r="D30" i="5"/>
  <c r="D27" i="24" s="1"/>
  <c r="C30" i="5"/>
  <c r="C27" i="24" s="1"/>
  <c r="B30" i="5"/>
  <c r="B27" i="24" s="1"/>
  <c r="F28" i="5"/>
  <c r="E28" i="5"/>
  <c r="D28" i="5"/>
  <c r="C28" i="5"/>
  <c r="B28" i="5"/>
  <c r="F27" i="5"/>
  <c r="E27" i="5"/>
  <c r="D27" i="5"/>
  <c r="C27" i="5"/>
  <c r="B27" i="5"/>
  <c r="F26" i="5"/>
  <c r="E26" i="5"/>
  <c r="D26" i="5"/>
  <c r="C26" i="5"/>
  <c r="B26" i="5"/>
  <c r="F25" i="5"/>
  <c r="E25" i="5"/>
  <c r="D25" i="5"/>
  <c r="C25" i="5"/>
  <c r="B25" i="5"/>
  <c r="F8" i="5"/>
  <c r="E8" i="5"/>
  <c r="D8" i="5"/>
  <c r="C8" i="5"/>
  <c r="B8" i="5"/>
  <c r="F7" i="5"/>
  <c r="E7" i="5"/>
  <c r="D7" i="5"/>
  <c r="C7" i="5"/>
  <c r="B7" i="5"/>
  <c r="F6" i="5"/>
  <c r="F9" i="5" s="1"/>
  <c r="E6" i="5"/>
  <c r="E9" i="5" s="1"/>
  <c r="D6" i="5"/>
  <c r="D9" i="5" s="1"/>
  <c r="C6" i="5"/>
  <c r="C9" i="5" s="1"/>
  <c r="B6" i="5"/>
  <c r="F4" i="5"/>
  <c r="F16" i="24" s="1"/>
  <c r="E4" i="5"/>
  <c r="D4" i="5"/>
  <c r="C4" i="5"/>
  <c r="B4" i="5"/>
  <c r="F36" i="36"/>
  <c r="D36" i="36"/>
  <c r="F32" i="22"/>
  <c r="E32" i="22"/>
  <c r="D32" i="22"/>
  <c r="C32" i="22"/>
  <c r="B32" i="22"/>
  <c r="I9" i="22"/>
  <c r="I8" i="22"/>
  <c r="I7" i="22"/>
  <c r="I6" i="22"/>
  <c r="I5" i="22"/>
  <c r="I4" i="22"/>
  <c r="I3" i="22"/>
  <c r="F9" i="21"/>
  <c r="F16" i="5" s="1"/>
  <c r="E9" i="21"/>
  <c r="E16" i="5" s="1"/>
  <c r="D9" i="21"/>
  <c r="D16" i="5" s="1"/>
  <c r="C9" i="21"/>
  <c r="C16" i="5" s="1"/>
  <c r="B9" i="21"/>
  <c r="B16" i="5" s="1"/>
  <c r="F8" i="21"/>
  <c r="E8" i="21"/>
  <c r="D8" i="21"/>
  <c r="C8" i="21"/>
  <c r="B8" i="21"/>
  <c r="F7" i="21"/>
  <c r="E7" i="21"/>
  <c r="D7" i="21"/>
  <c r="C7" i="21"/>
  <c r="B7" i="21"/>
  <c r="B14" i="5" s="1"/>
  <c r="I4" i="21"/>
  <c r="I3" i="21"/>
  <c r="F43" i="30"/>
  <c r="E43" i="30"/>
  <c r="D43" i="30"/>
  <c r="C43" i="30"/>
  <c r="B43" i="30"/>
  <c r="J43" i="30"/>
  <c r="F36" i="30"/>
  <c r="E36" i="30"/>
  <c r="D36" i="30"/>
  <c r="C36" i="30"/>
  <c r="B36" i="30"/>
  <c r="J36" i="30"/>
  <c r="B23" i="32" s="1"/>
  <c r="F30" i="30"/>
  <c r="E30" i="30"/>
  <c r="D30" i="30"/>
  <c r="C30" i="30"/>
  <c r="B30" i="30"/>
  <c r="F23" i="30"/>
  <c r="E23" i="30"/>
  <c r="D23" i="30"/>
  <c r="C23" i="30"/>
  <c r="B23" i="30"/>
  <c r="J23" i="30"/>
  <c r="B14" i="32" s="1"/>
  <c r="F18" i="30"/>
  <c r="F46" i="30" s="1"/>
  <c r="F30" i="32" s="1"/>
  <c r="E18" i="30"/>
  <c r="E46" i="30" s="1"/>
  <c r="E30" i="32" s="1"/>
  <c r="D18" i="30"/>
  <c r="C18" i="30"/>
  <c r="B18" i="30"/>
  <c r="J18" i="30"/>
  <c r="F9" i="30"/>
  <c r="E9" i="30"/>
  <c r="D9" i="30"/>
  <c r="C9" i="30"/>
  <c r="B9" i="30"/>
  <c r="F27" i="31"/>
  <c r="E27" i="31"/>
  <c r="D27" i="31"/>
  <c r="C27" i="31"/>
  <c r="B27" i="31"/>
  <c r="F6" i="31"/>
  <c r="E6" i="31"/>
  <c r="D6" i="31"/>
  <c r="C6" i="31"/>
  <c r="B6" i="31"/>
  <c r="F5" i="31"/>
  <c r="F37" i="31" s="1"/>
  <c r="E5" i="31"/>
  <c r="E37" i="31" s="1"/>
  <c r="D5" i="31"/>
  <c r="D37" i="31" s="1"/>
  <c r="C5" i="31"/>
  <c r="C37" i="31" s="1"/>
  <c r="B5" i="31"/>
  <c r="B37" i="31" s="1"/>
  <c r="F4" i="31"/>
  <c r="F7" i="31" s="1"/>
  <c r="E4" i="31"/>
  <c r="E7" i="31" s="1"/>
  <c r="D4" i="31"/>
  <c r="D7" i="31" s="1"/>
  <c r="C4" i="31"/>
  <c r="C7" i="31" s="1"/>
  <c r="B4" i="31"/>
  <c r="B7" i="31" s="1"/>
  <c r="B43" i="34"/>
  <c r="B42" i="34"/>
  <c r="C20" i="34"/>
  <c r="B12" i="34"/>
  <c r="B11" i="34"/>
  <c r="B10" i="34"/>
  <c r="B46" i="3"/>
  <c r="B45" i="3"/>
  <c r="B44" i="3"/>
  <c r="B43" i="3"/>
  <c r="B42" i="3"/>
  <c r="B41" i="3"/>
  <c r="C37" i="3"/>
  <c r="C36" i="3"/>
  <c r="C35" i="3"/>
  <c r="C34" i="3"/>
  <c r="C33" i="3"/>
  <c r="C24" i="3"/>
  <c r="C23" i="3"/>
  <c r="C22" i="3"/>
  <c r="C21" i="3"/>
  <c r="C16" i="3"/>
  <c r="C14" i="3"/>
  <c r="C13" i="3"/>
  <c r="C12" i="3"/>
  <c r="C11" i="3"/>
  <c r="C10" i="3"/>
  <c r="C9" i="3"/>
  <c r="C8" i="3"/>
  <c r="C7" i="3"/>
  <c r="C6" i="3"/>
  <c r="C5" i="3"/>
  <c r="F69" i="19"/>
  <c r="E69" i="19"/>
  <c r="D69" i="19"/>
  <c r="C69" i="19"/>
  <c r="B69" i="19"/>
  <c r="C61" i="19"/>
  <c r="D61" i="19" s="1"/>
  <c r="C60" i="19"/>
  <c r="D60" i="19" s="1"/>
  <c r="C59" i="19"/>
  <c r="C58" i="19"/>
  <c r="D58" i="19" s="1"/>
  <c r="C18" i="19"/>
  <c r="C15" i="3" s="1"/>
  <c r="A334" i="25" a="1"/>
  <c r="A334" i="25" s="1"/>
  <c r="A323" i="25" a="1"/>
  <c r="A323" i="25" s="1"/>
  <c r="A175" i="25" a="1"/>
  <c r="A175" i="25" s="1"/>
  <c r="A145" i="25"/>
  <c r="B61" i="25"/>
  <c r="C61" i="25"/>
  <c r="D61" i="25"/>
  <c r="E61" i="25"/>
  <c r="C29" i="10" l="1"/>
  <c r="E48" i="7"/>
  <c r="E49" i="7" s="1"/>
  <c r="E50" i="7" s="1"/>
  <c r="B18" i="22"/>
  <c r="N43" i="30"/>
  <c r="F31" i="32" s="1"/>
  <c r="F32" i="32" s="1"/>
  <c r="K43" i="30"/>
  <c r="L43" i="30"/>
  <c r="K36" i="30"/>
  <c r="C23" i="32" s="1"/>
  <c r="M36" i="30"/>
  <c r="E23" i="32" s="1"/>
  <c r="L30" i="30"/>
  <c r="D22" i="32" s="1"/>
  <c r="K30" i="30"/>
  <c r="C22" i="32" s="1"/>
  <c r="N30" i="30"/>
  <c r="F22" i="32" s="1"/>
  <c r="M30" i="30"/>
  <c r="E22" i="32" s="1"/>
  <c r="K23" i="30"/>
  <c r="L23" i="30"/>
  <c r="N18" i="30"/>
  <c r="B9" i="5"/>
  <c r="E28" i="24"/>
  <c r="D28" i="24"/>
  <c r="C28" i="24"/>
  <c r="B28" i="24"/>
  <c r="F28" i="24"/>
  <c r="F21" i="31"/>
  <c r="E21" i="31"/>
  <c r="D21" i="31"/>
  <c r="C21" i="31"/>
  <c r="B21" i="31"/>
  <c r="E21" i="10"/>
  <c r="E16" i="24"/>
  <c r="E20" i="10"/>
  <c r="D16" i="24"/>
  <c r="E19" i="10"/>
  <c r="C16" i="24"/>
  <c r="E18" i="10"/>
  <c r="B16" i="24"/>
  <c r="F4" i="24"/>
  <c r="F8" i="24" s="1"/>
  <c r="B5" i="10"/>
  <c r="F7" i="25"/>
  <c r="F20" i="25" s="1"/>
  <c r="D22" i="10"/>
  <c r="E7" i="25"/>
  <c r="E20" i="25" s="1"/>
  <c r="E4" i="24"/>
  <c r="E8" i="24" s="1"/>
  <c r="D21" i="10"/>
  <c r="D20" i="10"/>
  <c r="D4" i="24"/>
  <c r="D8" i="24" s="1"/>
  <c r="D7" i="25"/>
  <c r="D20" i="25" s="1"/>
  <c r="C4" i="24"/>
  <c r="C8" i="24" s="1"/>
  <c r="C7" i="25"/>
  <c r="C20" i="25" s="1"/>
  <c r="D19" i="10"/>
  <c r="E22" i="10"/>
  <c r="E5" i="10"/>
  <c r="B4" i="10"/>
  <c r="F19" i="5"/>
  <c r="F15" i="5"/>
  <c r="E15" i="5"/>
  <c r="E19" i="5"/>
  <c r="E20" i="5" s="1"/>
  <c r="D11" i="26" s="1"/>
  <c r="D19" i="5"/>
  <c r="D20" i="5" s="1"/>
  <c r="D15" i="5"/>
  <c r="C15" i="5"/>
  <c r="C19" i="5"/>
  <c r="C20" i="5" s="1"/>
  <c r="C11" i="26" s="1"/>
  <c r="B15" i="5"/>
  <c r="B19" i="5"/>
  <c r="B20" i="5" s="1"/>
  <c r="B11" i="26" s="1"/>
  <c r="F14" i="5"/>
  <c r="F31" i="5" s="1"/>
  <c r="F10" i="21"/>
  <c r="F31" i="31" s="1"/>
  <c r="E10" i="21"/>
  <c r="E31" i="31" s="1"/>
  <c r="E14" i="5"/>
  <c r="E31" i="5" s="1"/>
  <c r="D14" i="5"/>
  <c r="D31" i="5" s="1"/>
  <c r="D10" i="21"/>
  <c r="D31" i="31" s="1"/>
  <c r="C10" i="21"/>
  <c r="C31" i="31" s="1"/>
  <c r="C14" i="5"/>
  <c r="C31" i="5" s="1"/>
  <c r="F5" i="5"/>
  <c r="F14" i="31"/>
  <c r="F11" i="31"/>
  <c r="F26" i="31"/>
  <c r="F28" i="31" s="1"/>
  <c r="F45" i="31" s="1"/>
  <c r="E5" i="5"/>
  <c r="E14" i="31"/>
  <c r="E26" i="31"/>
  <c r="E28" i="31" s="1"/>
  <c r="E45" i="31" s="1"/>
  <c r="E11" i="31"/>
  <c r="D5" i="5"/>
  <c r="D26" i="31"/>
  <c r="D28" i="31" s="1"/>
  <c r="D45" i="31" s="1"/>
  <c r="D14" i="31"/>
  <c r="D11" i="31"/>
  <c r="C5" i="5"/>
  <c r="C26" i="31"/>
  <c r="C28" i="31" s="1"/>
  <c r="C45" i="31" s="1"/>
  <c r="C14" i="31"/>
  <c r="C11" i="31"/>
  <c r="B14" i="31"/>
  <c r="B26" i="31"/>
  <c r="B28" i="31" s="1"/>
  <c r="B45" i="31" s="1"/>
  <c r="F29" i="5"/>
  <c r="F10" i="5"/>
  <c r="F8" i="31"/>
  <c r="E29" i="5"/>
  <c r="E10" i="5"/>
  <c r="E8" i="31"/>
  <c r="D8" i="31"/>
  <c r="D10" i="5"/>
  <c r="D29" i="5"/>
  <c r="C10" i="5"/>
  <c r="C29" i="5"/>
  <c r="C8" i="31"/>
  <c r="B10" i="5"/>
  <c r="B8" i="31"/>
  <c r="B29" i="5"/>
  <c r="D21" i="24"/>
  <c r="C21" i="24"/>
  <c r="E21" i="24"/>
  <c r="B21" i="24"/>
  <c r="F21" i="24"/>
  <c r="B31" i="5"/>
  <c r="B5" i="5"/>
  <c r="B11" i="31"/>
  <c r="F19" i="31"/>
  <c r="F20" i="31"/>
  <c r="E19" i="31"/>
  <c r="E20" i="31"/>
  <c r="D19" i="31"/>
  <c r="D20" i="31"/>
  <c r="C19" i="31"/>
  <c r="C20" i="31"/>
  <c r="B19" i="31"/>
  <c r="B20" i="31"/>
  <c r="C14" i="26"/>
  <c r="C15" i="26" s="1"/>
  <c r="D24" i="26" s="1"/>
  <c r="B10" i="21"/>
  <c r="B31" i="31" s="1"/>
  <c r="D14" i="26"/>
  <c r="D15" i="26" s="1"/>
  <c r="E25" i="26" s="1"/>
  <c r="B14" i="26"/>
  <c r="B15" i="26" s="1"/>
  <c r="D59" i="19"/>
  <c r="J30" i="30"/>
  <c r="B22" i="32" s="1"/>
  <c r="K9" i="30"/>
  <c r="M9" i="30"/>
  <c r="J9" i="30"/>
  <c r="C46" i="30"/>
  <c r="C30" i="32" s="1"/>
  <c r="B46" i="30"/>
  <c r="M18" i="30"/>
  <c r="E14" i="32" s="1"/>
  <c r="L18" i="30"/>
  <c r="K18" i="30"/>
  <c r="C14" i="32" s="1"/>
  <c r="D46" i="30"/>
  <c r="D30" i="32" s="1"/>
  <c r="L9" i="30"/>
  <c r="B31" i="32"/>
  <c r="J47" i="30"/>
  <c r="J49" i="30" s="1"/>
  <c r="F61" i="25"/>
  <c r="C18" i="22" l="1"/>
  <c r="B19" i="22"/>
  <c r="D14" i="32"/>
  <c r="F14" i="32"/>
  <c r="N47" i="30"/>
  <c r="N49" i="30" s="1"/>
  <c r="E31" i="32"/>
  <c r="E32" i="32" s="1"/>
  <c r="E21" i="21" s="1"/>
  <c r="M47" i="30"/>
  <c r="M49" i="30" s="1"/>
  <c r="K47" i="30"/>
  <c r="K49" i="30" s="1"/>
  <c r="C31" i="32"/>
  <c r="C32" i="32" s="1"/>
  <c r="E6" i="10"/>
  <c r="B4" i="24"/>
  <c r="B5" i="24" s="1"/>
  <c r="D18" i="10"/>
  <c r="B7" i="25"/>
  <c r="B20" i="25" s="1"/>
  <c r="F38" i="31"/>
  <c r="F36" i="31"/>
  <c r="F39" i="31" s="1"/>
  <c r="F47" i="31" s="1"/>
  <c r="E38" i="31"/>
  <c r="E36" i="31"/>
  <c r="E39" i="31" s="1"/>
  <c r="E47" i="31" s="1"/>
  <c r="D38" i="31"/>
  <c r="D36" i="31"/>
  <c r="D39" i="31" s="1"/>
  <c r="D47" i="31" s="1"/>
  <c r="C38" i="31"/>
  <c r="C36" i="31"/>
  <c r="C39" i="31" s="1"/>
  <c r="C47" i="31" s="1"/>
  <c r="B38" i="31"/>
  <c r="B36" i="31"/>
  <c r="B39" i="31" s="1"/>
  <c r="B47" i="31" s="1"/>
  <c r="F32" i="31"/>
  <c r="F33" i="31" s="1"/>
  <c r="F46" i="31" s="1"/>
  <c r="F18" i="31"/>
  <c r="E32" i="31"/>
  <c r="E33" i="31" s="1"/>
  <c r="E46" i="31" s="1"/>
  <c r="E18" i="31"/>
  <c r="D32" i="31"/>
  <c r="D33" i="31" s="1"/>
  <c r="D46" i="31" s="1"/>
  <c r="D18" i="31"/>
  <c r="C18" i="31"/>
  <c r="C32" i="31"/>
  <c r="C33" i="31" s="1"/>
  <c r="C46" i="31" s="1"/>
  <c r="B18" i="31"/>
  <c r="B32" i="31"/>
  <c r="B33" i="31" s="1"/>
  <c r="B46" i="31" s="1"/>
  <c r="F11" i="5"/>
  <c r="B9" i="10" s="1"/>
  <c r="F17" i="24"/>
  <c r="E11" i="5"/>
  <c r="E17" i="24"/>
  <c r="D11" i="5"/>
  <c r="D17" i="24"/>
  <c r="C11" i="5"/>
  <c r="C17" i="24"/>
  <c r="F5" i="24"/>
  <c r="F26" i="24"/>
  <c r="F7" i="24"/>
  <c r="C13" i="10" s="1"/>
  <c r="E5" i="24"/>
  <c r="E7" i="24"/>
  <c r="E26" i="24"/>
  <c r="D7" i="24"/>
  <c r="D5" i="24"/>
  <c r="D26" i="24"/>
  <c r="C26" i="24"/>
  <c r="C7" i="24"/>
  <c r="C5" i="24"/>
  <c r="F20" i="5"/>
  <c r="B7" i="10"/>
  <c r="F29" i="21"/>
  <c r="F12" i="36" s="1"/>
  <c r="B15" i="13"/>
  <c r="B16" i="13" s="1"/>
  <c r="H7" i="13"/>
  <c r="H8" i="13" s="1"/>
  <c r="B22" i="10"/>
  <c r="F6" i="25"/>
  <c r="F21" i="25" s="1"/>
  <c r="F11" i="21"/>
  <c r="F9" i="22"/>
  <c r="F28" i="22"/>
  <c r="F26" i="36"/>
  <c r="F29" i="36" s="1"/>
  <c r="F5" i="32"/>
  <c r="F17" i="5"/>
  <c r="F22" i="5" s="1"/>
  <c r="E29" i="21"/>
  <c r="E12" i="36" s="1"/>
  <c r="E9" i="22"/>
  <c r="E28" i="22"/>
  <c r="E26" i="36"/>
  <c r="E29" i="36" s="1"/>
  <c r="E5" i="32"/>
  <c r="E17" i="5"/>
  <c r="E22" i="5" s="1"/>
  <c r="E6" i="25"/>
  <c r="E21" i="25" s="1"/>
  <c r="G7" i="13"/>
  <c r="G8" i="13" s="1"/>
  <c r="B21" i="10"/>
  <c r="E11" i="21"/>
  <c r="F7" i="13"/>
  <c r="F8" i="13" s="1"/>
  <c r="D11" i="21"/>
  <c r="D9" i="22"/>
  <c r="D28" i="22"/>
  <c r="D26" i="36"/>
  <c r="D29" i="36" s="1"/>
  <c r="D5" i="32"/>
  <c r="D17" i="5"/>
  <c r="D22" i="5" s="1"/>
  <c r="D29" i="21"/>
  <c r="D12" i="36" s="1"/>
  <c r="D6" i="25"/>
  <c r="D21" i="25" s="1"/>
  <c r="B20" i="10"/>
  <c r="C11" i="21"/>
  <c r="C29" i="21"/>
  <c r="C12" i="36" s="1"/>
  <c r="B19" i="10"/>
  <c r="C6" i="25"/>
  <c r="C21" i="25" s="1"/>
  <c r="E7" i="13"/>
  <c r="E8" i="13" s="1"/>
  <c r="C9" i="22"/>
  <c r="C28" i="22"/>
  <c r="C26" i="36"/>
  <c r="C29" i="36" s="1"/>
  <c r="C5" i="32"/>
  <c r="C17" i="5"/>
  <c r="F8" i="25"/>
  <c r="B6" i="10"/>
  <c r="F22" i="10"/>
  <c r="F13" i="31"/>
  <c r="F12" i="31"/>
  <c r="E8" i="25"/>
  <c r="F21" i="10"/>
  <c r="E13" i="31"/>
  <c r="E12" i="31"/>
  <c r="D13" i="31"/>
  <c r="D12" i="31"/>
  <c r="D15" i="31" s="1"/>
  <c r="D43" i="31" s="1"/>
  <c r="F20" i="10"/>
  <c r="D8" i="25"/>
  <c r="C8" i="25"/>
  <c r="F19" i="10"/>
  <c r="C12" i="31"/>
  <c r="C13" i="31"/>
  <c r="F18" i="10"/>
  <c r="B8" i="25"/>
  <c r="B12" i="31"/>
  <c r="B13" i="31"/>
  <c r="B11" i="5"/>
  <c r="B17" i="24"/>
  <c r="B11" i="21"/>
  <c r="B29" i="21"/>
  <c r="B12" i="36" s="1"/>
  <c r="B9" i="22"/>
  <c r="B14" i="22"/>
  <c r="B28" i="22"/>
  <c r="B26" i="36"/>
  <c r="B29" i="36" s="1"/>
  <c r="B5" i="32"/>
  <c r="B17" i="5"/>
  <c r="B6" i="25"/>
  <c r="B21" i="25" s="1"/>
  <c r="C27" i="10"/>
  <c r="E4" i="10"/>
  <c r="B18" i="10"/>
  <c r="C26" i="10"/>
  <c r="D7" i="13"/>
  <c r="D8" i="13" s="1"/>
  <c r="C28" i="10"/>
  <c r="E24" i="26"/>
  <c r="C19" i="26"/>
  <c r="C20" i="26"/>
  <c r="D20" i="26" s="1"/>
  <c r="E20" i="26" s="1"/>
  <c r="C21" i="26"/>
  <c r="D21" i="26" s="1"/>
  <c r="E21" i="26" s="1"/>
  <c r="C22" i="26"/>
  <c r="D22" i="26" s="1"/>
  <c r="E22" i="26" s="1"/>
  <c r="C23" i="26"/>
  <c r="D23" i="26" s="1"/>
  <c r="E23" i="26" s="1"/>
  <c r="F9" i="24"/>
  <c r="F10" i="24"/>
  <c r="F29" i="24"/>
  <c r="D9" i="24"/>
  <c r="D10" i="24"/>
  <c r="D29" i="24"/>
  <c r="C9" i="24"/>
  <c r="C10" i="24"/>
  <c r="C29" i="24"/>
  <c r="E9" i="24"/>
  <c r="E10" i="24"/>
  <c r="E29" i="24"/>
  <c r="B32" i="32"/>
  <c r="L47" i="30"/>
  <c r="L49" i="30" s="1"/>
  <c r="D31" i="32"/>
  <c r="D32" i="32" s="1"/>
  <c r="F21" i="21"/>
  <c r="C19" i="22" l="1"/>
  <c r="D18" i="22"/>
  <c r="F22" i="31"/>
  <c r="F23" i="31" s="1"/>
  <c r="F44" i="31" s="1"/>
  <c r="E22" i="31"/>
  <c r="E23" i="31" s="1"/>
  <c r="E44" i="31" s="1"/>
  <c r="D22" i="31"/>
  <c r="D23" i="31" s="1"/>
  <c r="D44" i="31" s="1"/>
  <c r="D48" i="31" s="1"/>
  <c r="D14" i="21" s="1"/>
  <c r="C22" i="31"/>
  <c r="C23" i="31" s="1"/>
  <c r="C44" i="31" s="1"/>
  <c r="B22" i="31"/>
  <c r="B23" i="31" s="1"/>
  <c r="B44" i="31" s="1"/>
  <c r="B8" i="24"/>
  <c r="B7" i="24"/>
  <c r="B26" i="24"/>
  <c r="E15" i="31"/>
  <c r="E43" i="31" s="1"/>
  <c r="E48" i="31" s="1"/>
  <c r="E14" i="21" s="1"/>
  <c r="F15" i="31"/>
  <c r="F43" i="31" s="1"/>
  <c r="F48" i="31" s="1"/>
  <c r="F14" i="21" s="1"/>
  <c r="F19" i="24"/>
  <c r="F20" i="24"/>
  <c r="E19" i="24"/>
  <c r="E20" i="24"/>
  <c r="D20" i="24"/>
  <c r="D19" i="24"/>
  <c r="C20" i="24"/>
  <c r="C19" i="24"/>
  <c r="F9" i="25"/>
  <c r="F6" i="24"/>
  <c r="E6" i="24"/>
  <c r="E9" i="25"/>
  <c r="D6" i="24"/>
  <c r="D9" i="25"/>
  <c r="C6" i="24"/>
  <c r="C9" i="25"/>
  <c r="B8" i="10"/>
  <c r="F8" i="32"/>
  <c r="F13" i="32"/>
  <c r="F12" i="32"/>
  <c r="F9" i="32"/>
  <c r="F11" i="32"/>
  <c r="F18" i="32"/>
  <c r="F19" i="32"/>
  <c r="F20" i="32"/>
  <c r="F21" i="32"/>
  <c r="F10" i="32"/>
  <c r="F21" i="5"/>
  <c r="G22" i="10" s="1"/>
  <c r="F18" i="5"/>
  <c r="C22" i="10" s="1"/>
  <c r="E9" i="32"/>
  <c r="E13" i="32"/>
  <c r="E18" i="32"/>
  <c r="E19" i="32"/>
  <c r="E20" i="32"/>
  <c r="E21" i="32"/>
  <c r="E8" i="32"/>
  <c r="E10" i="32"/>
  <c r="E11" i="32"/>
  <c r="E12" i="32"/>
  <c r="E21" i="5"/>
  <c r="G21" i="10" s="1"/>
  <c r="E18" i="5"/>
  <c r="C21" i="10" s="1"/>
  <c r="D8" i="32"/>
  <c r="D10" i="32"/>
  <c r="D11" i="32"/>
  <c r="D18" i="32"/>
  <c r="D19" i="32"/>
  <c r="D20" i="32"/>
  <c r="D21" i="32"/>
  <c r="D12" i="32"/>
  <c r="D9" i="32"/>
  <c r="D13" i="32"/>
  <c r="D21" i="5"/>
  <c r="G20" i="10" s="1"/>
  <c r="D18" i="5"/>
  <c r="C20" i="10" s="1"/>
  <c r="C12" i="32"/>
  <c r="C11" i="32"/>
  <c r="C8" i="32"/>
  <c r="C9" i="32"/>
  <c r="C18" i="32"/>
  <c r="C19" i="32"/>
  <c r="C20" i="32"/>
  <c r="C21" i="32"/>
  <c r="C13" i="32"/>
  <c r="C10" i="32"/>
  <c r="F20" i="36"/>
  <c r="E20" i="36"/>
  <c r="D16" i="36"/>
  <c r="C15" i="31"/>
  <c r="C43" i="31" s="1"/>
  <c r="C48" i="31" s="1"/>
  <c r="B15" i="31"/>
  <c r="B43" i="31" s="1"/>
  <c r="B48" i="31" s="1"/>
  <c r="F16" i="36"/>
  <c r="E16" i="36"/>
  <c r="D20" i="36"/>
  <c r="C21" i="5"/>
  <c r="G19" i="10" s="1"/>
  <c r="C22" i="5"/>
  <c r="B19" i="24"/>
  <c r="B20" i="24"/>
  <c r="B15" i="22"/>
  <c r="B16" i="36"/>
  <c r="C16" i="36"/>
  <c r="C14" i="22"/>
  <c r="B20" i="36"/>
  <c r="C20" i="36"/>
  <c r="B8" i="32"/>
  <c r="B11" i="32"/>
  <c r="B12" i="32"/>
  <c r="B9" i="32"/>
  <c r="B10" i="32"/>
  <c r="B13" i="32"/>
  <c r="B21" i="32"/>
  <c r="B18" i="32"/>
  <c r="B19" i="32"/>
  <c r="B20" i="32"/>
  <c r="C18" i="5"/>
  <c r="C19" i="10" s="1"/>
  <c r="B22" i="5"/>
  <c r="B21" i="5"/>
  <c r="G18" i="10" s="1"/>
  <c r="B6" i="24"/>
  <c r="B9" i="25"/>
  <c r="D19" i="26"/>
  <c r="C26" i="26"/>
  <c r="C13" i="28" s="1"/>
  <c r="C21" i="21"/>
  <c r="B21" i="21"/>
  <c r="D21" i="21"/>
  <c r="E18" i="22" l="1"/>
  <c r="D19" i="22"/>
  <c r="B14" i="21"/>
  <c r="C14" i="21"/>
  <c r="B29" i="24"/>
  <c r="B10" i="24"/>
  <c r="B9" i="24"/>
  <c r="E15" i="32"/>
  <c r="D24" i="32"/>
  <c r="D20" i="21" s="1"/>
  <c r="D12" i="25"/>
  <c r="D13" i="25" s="1"/>
  <c r="D15" i="25" s="1"/>
  <c r="D15" i="21"/>
  <c r="D16" i="21" s="1"/>
  <c r="D26" i="22"/>
  <c r="D26" i="10"/>
  <c r="B26" i="10"/>
  <c r="D27" i="10"/>
  <c r="B27" i="10"/>
  <c r="D28" i="10"/>
  <c r="B28" i="10"/>
  <c r="F15" i="32"/>
  <c r="F24" i="32"/>
  <c r="F20" i="21" s="1"/>
  <c r="D15" i="32"/>
  <c r="C15" i="32"/>
  <c r="C24" i="32"/>
  <c r="C20" i="21" s="1"/>
  <c r="E24" i="32"/>
  <c r="E20" i="21" s="1"/>
  <c r="E15" i="21"/>
  <c r="E16" i="21" s="1"/>
  <c r="E26" i="22"/>
  <c r="E12" i="25"/>
  <c r="E13" i="25" s="1"/>
  <c r="E15" i="25" s="1"/>
  <c r="F15" i="21"/>
  <c r="F16" i="21" s="1"/>
  <c r="F26" i="22"/>
  <c r="F12" i="25"/>
  <c r="F13" i="25" s="1"/>
  <c r="F15" i="25" s="1"/>
  <c r="D14" i="22"/>
  <c r="B15" i="32"/>
  <c r="B24" i="32"/>
  <c r="B20" i="21" s="1"/>
  <c r="C15" i="22"/>
  <c r="B16" i="22"/>
  <c r="B20" i="22" s="1"/>
  <c r="E19" i="26"/>
  <c r="E26" i="26" s="1"/>
  <c r="E13" i="28" s="1"/>
  <c r="D26" i="26"/>
  <c r="D13" i="28" s="1"/>
  <c r="G13" i="28" s="1"/>
  <c r="B16" i="28" s="1"/>
  <c r="E19" i="22" l="1"/>
  <c r="F18" i="22"/>
  <c r="F19" i="22" s="1"/>
  <c r="B15" i="21"/>
  <c r="B16" i="21" s="1"/>
  <c r="B26" i="22"/>
  <c r="B18" i="36" s="1"/>
  <c r="B12" i="25"/>
  <c r="B13" i="25" s="1"/>
  <c r="B15" i="25" s="1"/>
  <c r="C26" i="22"/>
  <c r="C12" i="25"/>
  <c r="C13" i="25" s="1"/>
  <c r="C15" i="25" s="1"/>
  <c r="C15" i="21"/>
  <c r="C16" i="21" s="1"/>
  <c r="E34" i="32"/>
  <c r="E35" i="32" s="1"/>
  <c r="E19" i="21"/>
  <c r="E27" i="21" s="1"/>
  <c r="F18" i="36"/>
  <c r="D22" i="24"/>
  <c r="D23" i="24" s="1"/>
  <c r="D13" i="24"/>
  <c r="D10" i="28"/>
  <c r="D11" i="24"/>
  <c r="D12" i="24" s="1"/>
  <c r="D27" i="25"/>
  <c r="E18" i="36"/>
  <c r="F19" i="21"/>
  <c r="F34" i="32"/>
  <c r="D34" i="32"/>
  <c r="D19" i="21"/>
  <c r="C34" i="32"/>
  <c r="C19" i="21"/>
  <c r="D15" i="22"/>
  <c r="C16" i="22"/>
  <c r="C20" i="22" s="1"/>
  <c r="E10" i="28"/>
  <c r="E27" i="25"/>
  <c r="E13" i="24"/>
  <c r="E11" i="24"/>
  <c r="E12" i="24" s="1"/>
  <c r="E22" i="24"/>
  <c r="E23" i="24" s="1"/>
  <c r="F10" i="28"/>
  <c r="F14" i="10"/>
  <c r="F13" i="10"/>
  <c r="F13" i="24"/>
  <c r="E13" i="10" s="1"/>
  <c r="F27" i="25"/>
  <c r="F22" i="24"/>
  <c r="F11" i="24"/>
  <c r="E14" i="22"/>
  <c r="B34" i="32"/>
  <c r="B19" i="21"/>
  <c r="D18" i="36" l="1"/>
  <c r="C18" i="36"/>
  <c r="C22" i="24"/>
  <c r="C23" i="24" s="1"/>
  <c r="C13" i="24"/>
  <c r="C27" i="25"/>
  <c r="B27" i="25"/>
  <c r="B10" i="28"/>
  <c r="B22" i="24"/>
  <c r="B23" i="24" s="1"/>
  <c r="B11" i="24"/>
  <c r="B12" i="24" s="1"/>
  <c r="B13" i="24"/>
  <c r="C10" i="28"/>
  <c r="G10" i="28" s="1"/>
  <c r="C11" i="24"/>
  <c r="C12" i="24" s="1"/>
  <c r="E27" i="22"/>
  <c r="E29" i="22" s="1"/>
  <c r="E34" i="22" s="1"/>
  <c r="E24" i="21"/>
  <c r="E14" i="25"/>
  <c r="E18" i="25" s="1"/>
  <c r="E10" i="22"/>
  <c r="E15" i="22"/>
  <c r="D16" i="22"/>
  <c r="D20" i="22" s="1"/>
  <c r="E30" i="21"/>
  <c r="E32" i="21" s="1"/>
  <c r="E28" i="21"/>
  <c r="E28" i="25" s="1"/>
  <c r="F27" i="21"/>
  <c r="F27" i="22"/>
  <c r="F10" i="22"/>
  <c r="F14" i="25"/>
  <c r="F18" i="25" s="1"/>
  <c r="F24" i="21"/>
  <c r="F35" i="32"/>
  <c r="D35" i="32"/>
  <c r="D24" i="21"/>
  <c r="D27" i="21"/>
  <c r="D27" i="22"/>
  <c r="D14" i="25"/>
  <c r="D18" i="25" s="1"/>
  <c r="D10" i="22"/>
  <c r="C35" i="32"/>
  <c r="C10" i="22"/>
  <c r="C14" i="25"/>
  <c r="C18" i="25" s="1"/>
  <c r="C24" i="21"/>
  <c r="C27" i="22"/>
  <c r="C29" i="22" s="1"/>
  <c r="C34" i="22" s="1"/>
  <c r="C27" i="21"/>
  <c r="B14" i="10"/>
  <c r="F23" i="24"/>
  <c r="D14" i="10" s="1"/>
  <c r="F12" i="24"/>
  <c r="D13" i="10" s="1"/>
  <c r="B13" i="10"/>
  <c r="F14" i="22"/>
  <c r="B35" i="32"/>
  <c r="B10" i="22"/>
  <c r="B14" i="25"/>
  <c r="B18" i="25" s="1"/>
  <c r="B27" i="21"/>
  <c r="B27" i="22"/>
  <c r="B24" i="21"/>
  <c r="E22" i="25" l="1"/>
  <c r="E19" i="25"/>
  <c r="E25" i="25" s="1"/>
  <c r="F17" i="36"/>
  <c r="F15" i="22"/>
  <c r="F16" i="22" s="1"/>
  <c r="F20" i="22" s="1"/>
  <c r="E16" i="22"/>
  <c r="E20" i="22" s="1"/>
  <c r="E42" i="21"/>
  <c r="E43" i="21"/>
  <c r="E34" i="21" s="1"/>
  <c r="E35" i="21" s="1"/>
  <c r="E36" i="21" s="1"/>
  <c r="E37" i="21" s="1"/>
  <c r="F28" i="21"/>
  <c r="F28" i="25" s="1"/>
  <c r="F30" i="21"/>
  <c r="F32" i="21" s="1"/>
  <c r="F42" i="21" s="1"/>
  <c r="F29" i="22"/>
  <c r="F34" i="22" s="1"/>
  <c r="F19" i="36"/>
  <c r="F22" i="25"/>
  <c r="F19" i="25"/>
  <c r="F25" i="25" s="1"/>
  <c r="D30" i="21"/>
  <c r="D32" i="21" s="1"/>
  <c r="D28" i="21"/>
  <c r="D28" i="25" s="1"/>
  <c r="E19" i="36"/>
  <c r="D29" i="22"/>
  <c r="D34" i="22" s="1"/>
  <c r="D19" i="36"/>
  <c r="D19" i="25"/>
  <c r="D25" i="25" s="1"/>
  <c r="D22" i="25"/>
  <c r="D17" i="36"/>
  <c r="E17" i="36"/>
  <c r="C19" i="25"/>
  <c r="C25" i="25" s="1"/>
  <c r="C22" i="25"/>
  <c r="C30" i="21"/>
  <c r="C32" i="21" s="1"/>
  <c r="C28" i="21"/>
  <c r="C28" i="25" s="1"/>
  <c r="B17" i="36"/>
  <c r="C17" i="36"/>
  <c r="B19" i="25"/>
  <c r="B25" i="25" s="1"/>
  <c r="B22" i="25"/>
  <c r="B28" i="21"/>
  <c r="B28" i="25" s="1"/>
  <c r="B30" i="21"/>
  <c r="B32" i="21" s="1"/>
  <c r="B19" i="36"/>
  <c r="C19" i="36"/>
  <c r="B29" i="22"/>
  <c r="B34" i="22" s="1"/>
  <c r="E38" i="21" l="1"/>
  <c r="E9" i="36"/>
  <c r="E22" i="36" s="1"/>
  <c r="E8" i="35"/>
  <c r="D43" i="21"/>
  <c r="D34" i="21" s="1"/>
  <c r="D35" i="21" s="1"/>
  <c r="D36" i="21" s="1"/>
  <c r="D37" i="21" s="1"/>
  <c r="D42" i="21"/>
  <c r="C43" i="21"/>
  <c r="C34" i="21" s="1"/>
  <c r="C35" i="21" s="1"/>
  <c r="C36" i="21" s="1"/>
  <c r="C37" i="21" s="1"/>
  <c r="C42" i="21"/>
  <c r="B43" i="21"/>
  <c r="B34" i="21" s="1"/>
  <c r="B35" i="21" s="1"/>
  <c r="B36" i="21" s="1"/>
  <c r="B37" i="21" s="1"/>
  <c r="B42" i="21"/>
  <c r="E30" i="26" l="1"/>
  <c r="E40" i="36"/>
  <c r="D38" i="21"/>
  <c r="D9" i="36"/>
  <c r="D22" i="36" s="1"/>
  <c r="D8" i="35"/>
  <c r="C8" i="35"/>
  <c r="C38" i="21"/>
  <c r="C9" i="36"/>
  <c r="C22" i="36" s="1"/>
  <c r="B44" i="21"/>
  <c r="C41" i="21" s="1"/>
  <c r="C44" i="21" s="1"/>
  <c r="D41" i="21" s="1"/>
  <c r="D44" i="21" s="1"/>
  <c r="E41" i="21" s="1"/>
  <c r="E44" i="21" s="1"/>
  <c r="F41" i="21" s="1"/>
  <c r="F43" i="21" s="1"/>
  <c r="B9" i="36"/>
  <c r="B22" i="36" s="1"/>
  <c r="B38" i="22"/>
  <c r="B8" i="35"/>
  <c r="B11" i="35" s="1"/>
  <c r="C6" i="35" s="1"/>
  <c r="B38" i="21"/>
  <c r="D40" i="36" l="1"/>
  <c r="D30" i="26"/>
  <c r="C40" i="36"/>
  <c r="C30" i="26"/>
  <c r="C11" i="35"/>
  <c r="D6" i="35" s="1"/>
  <c r="D11" i="35" s="1"/>
  <c r="E6" i="35" s="1"/>
  <c r="E11" i="35" s="1"/>
  <c r="F6" i="35" s="1"/>
  <c r="F34" i="21"/>
  <c r="F35" i="21" s="1"/>
  <c r="F36" i="21" s="1"/>
  <c r="F37" i="21" s="1"/>
  <c r="F44" i="21"/>
  <c r="B40" i="36"/>
  <c r="B48" i="36" s="1"/>
  <c r="B30" i="26"/>
  <c r="B39" i="22"/>
  <c r="B41" i="22" s="1"/>
  <c r="B14" i="35"/>
  <c r="B15" i="35" s="1"/>
  <c r="B6" i="28" s="1"/>
  <c r="C38" i="22"/>
  <c r="F9" i="36" l="1"/>
  <c r="F22" i="36" s="1"/>
  <c r="F8" i="35"/>
  <c r="F11" i="35" s="1"/>
  <c r="F38" i="21"/>
  <c r="C46" i="36"/>
  <c r="C48" i="36" s="1"/>
  <c r="B8" i="22"/>
  <c r="B31" i="26"/>
  <c r="B32" i="26" s="1"/>
  <c r="C39" i="22"/>
  <c r="C41" i="22" s="1"/>
  <c r="D38" i="22"/>
  <c r="C14" i="35"/>
  <c r="C15" i="35" s="1"/>
  <c r="C6" i="28" s="1"/>
  <c r="F30" i="26" l="1"/>
  <c r="F32" i="26" s="1"/>
  <c r="F40" i="36"/>
  <c r="C31" i="26"/>
  <c r="C32" i="26" s="1"/>
  <c r="D46" i="36"/>
  <c r="D48" i="36" s="1"/>
  <c r="C8" i="22"/>
  <c r="B5" i="28"/>
  <c r="B11" i="22"/>
  <c r="B22" i="22" s="1"/>
  <c r="B43" i="22" s="1"/>
  <c r="B4" i="28" s="1"/>
  <c r="D14" i="35"/>
  <c r="D15" i="35" s="1"/>
  <c r="D6" i="28" s="1"/>
  <c r="E38" i="22"/>
  <c r="D39" i="22"/>
  <c r="D41" i="22" s="1"/>
  <c r="C11" i="22" l="1"/>
  <c r="C22" i="22" s="1"/>
  <c r="C43" i="22" s="1"/>
  <c r="C4" i="28" s="1"/>
  <c r="C5" i="28"/>
  <c r="D31" i="26"/>
  <c r="D32" i="26" s="1"/>
  <c r="E46" i="36"/>
  <c r="E48" i="36" s="1"/>
  <c r="D8" i="22"/>
  <c r="E39" i="22"/>
  <c r="E41" i="22" s="1"/>
  <c r="E14" i="35"/>
  <c r="E15" i="35" s="1"/>
  <c r="E6" i="28" s="1"/>
  <c r="F38" i="22"/>
  <c r="F46" i="36" l="1"/>
  <c r="F48" i="36" s="1"/>
  <c r="E8" i="22"/>
  <c r="E31" i="26"/>
  <c r="E32" i="26" s="1"/>
  <c r="F39" i="22"/>
  <c r="F41" i="22" s="1"/>
  <c r="F14" i="35"/>
  <c r="F15" i="35" s="1"/>
  <c r="F6" i="28" s="1"/>
  <c r="G6" i="28" s="1"/>
  <c r="D11" i="22"/>
  <c r="D22" i="22" s="1"/>
  <c r="D43" i="22" s="1"/>
  <c r="D4" i="28" s="1"/>
  <c r="D5" i="28"/>
  <c r="F31" i="26" l="1"/>
  <c r="F8" i="22"/>
  <c r="E11" i="22"/>
  <c r="E22" i="22" s="1"/>
  <c r="E43" i="22" s="1"/>
  <c r="E4" i="28" s="1"/>
  <c r="E5" i="28"/>
  <c r="B106" i="25"/>
  <c r="F5" i="28" l="1"/>
  <c r="G5" i="28" s="1"/>
  <c r="F11" i="22"/>
  <c r="F22" i="22" s="1"/>
  <c r="F43" i="22" s="1"/>
  <c r="F4" i="28" s="1"/>
  <c r="G4" i="28" s="1"/>
  <c r="B53" i="25"/>
  <c r="B54" i="25" s="1"/>
  <c r="B63" i="25" l="1"/>
  <c r="B65" i="25" s="1"/>
  <c r="B66" i="25" s="1"/>
  <c r="B90" i="25"/>
  <c r="B86" i="25"/>
  <c r="B93" i="25"/>
  <c r="B83" i="25"/>
  <c r="B84" i="25" l="1"/>
  <c r="B104" i="25"/>
  <c r="B91" i="25"/>
  <c r="B87" i="25"/>
  <c r="B68" i="25"/>
  <c r="B107" i="25"/>
  <c r="B94" i="25"/>
  <c r="B56" i="25"/>
  <c r="B105" i="25" l="1"/>
  <c r="B60" i="25" l="1"/>
  <c r="B72" i="25"/>
  <c r="B78" i="25" s="1"/>
  <c r="B101" i="25" s="1"/>
  <c r="B75" i="25"/>
  <c r="B99" i="25" s="1"/>
  <c r="B76" i="25" l="1"/>
  <c r="B100" i="25" s="1"/>
  <c r="B73" i="25"/>
  <c r="C106" i="25" l="1"/>
  <c r="C53" i="25" l="1"/>
  <c r="C54" i="25" s="1"/>
  <c r="C63" i="25" l="1"/>
  <c r="C65" i="25" s="1"/>
  <c r="C66" i="25" s="1"/>
  <c r="C83" i="25"/>
  <c r="C86" i="25" l="1"/>
  <c r="C87" i="25" s="1"/>
  <c r="C93" i="25"/>
  <c r="C94" i="25" s="1"/>
  <c r="C90" i="25"/>
  <c r="C91" i="25" s="1"/>
  <c r="C104" i="25"/>
  <c r="C68" i="25"/>
  <c r="C107" i="25"/>
  <c r="C84" i="25"/>
  <c r="C56" i="25"/>
  <c r="C105" i="25" l="1"/>
  <c r="C60" i="25" l="1"/>
  <c r="C72" i="25"/>
  <c r="C78" i="25" s="1"/>
  <c r="C101" i="25" s="1"/>
  <c r="C75" i="25"/>
  <c r="C99" i="25" s="1"/>
  <c r="C73" i="25" l="1"/>
  <c r="C76" i="25"/>
  <c r="C100" i="25" s="1"/>
  <c r="D106" i="25" l="1"/>
  <c r="D53" i="25" l="1"/>
  <c r="D54" i="25" s="1"/>
  <c r="D63" i="25" l="1"/>
  <c r="D65" i="25" s="1"/>
  <c r="D66" i="25" s="1"/>
  <c r="D83" i="25" l="1"/>
  <c r="D68" i="25" l="1"/>
  <c r="D93" i="25"/>
  <c r="D94" i="25" s="1"/>
  <c r="D86" i="25"/>
  <c r="D87" i="25" s="1"/>
  <c r="D90" i="25"/>
  <c r="D91" i="25" s="1"/>
  <c r="D56" i="25"/>
  <c r="D107" i="25"/>
  <c r="D104" i="25"/>
  <c r="D84" i="25"/>
  <c r="D105" i="25" l="1"/>
  <c r="D60" i="25" l="1"/>
  <c r="D72" i="25"/>
  <c r="D78" i="25" s="1"/>
  <c r="D101" i="25" s="1"/>
  <c r="D75" i="25"/>
  <c r="D99" i="25" s="1"/>
  <c r="D73" i="25" l="1"/>
  <c r="D76" i="25"/>
  <c r="D100" i="25" s="1"/>
  <c r="E106" i="25" l="1"/>
  <c r="E53" i="25" l="1"/>
  <c r="E54" i="25" s="1"/>
  <c r="E63" i="25" l="1"/>
  <c r="E65" i="25" s="1"/>
  <c r="E86" i="25"/>
  <c r="E87" i="25" s="1"/>
  <c r="E83" i="25"/>
  <c r="E84" i="25" s="1"/>
  <c r="E93" i="25"/>
  <c r="E94" i="25" s="1"/>
  <c r="E90" i="25"/>
  <c r="E91" i="25" s="1"/>
  <c r="E107" i="25"/>
  <c r="E104" i="25"/>
  <c r="E56" i="25" l="1"/>
  <c r="E66" i="25"/>
  <c r="E68" i="25"/>
  <c r="E105" i="25"/>
  <c r="E60" i="25" l="1"/>
  <c r="E75" i="25"/>
  <c r="E99" i="25" s="1"/>
  <c r="E72" i="25"/>
  <c r="E78" i="25" s="1"/>
  <c r="E101" i="25" s="1"/>
  <c r="E76" i="25" l="1"/>
  <c r="E100" i="25" s="1"/>
  <c r="E73" i="25"/>
  <c r="F106" i="25" l="1"/>
  <c r="F53" i="25" l="1"/>
  <c r="F54" i="25" s="1"/>
  <c r="F63" i="25" l="1"/>
  <c r="F65" i="25" s="1"/>
  <c r="F66" i="25" s="1"/>
  <c r="F90" i="25"/>
  <c r="F86" i="25"/>
  <c r="F83" i="25" l="1"/>
  <c r="F84" i="25" s="1"/>
  <c r="F93" i="25"/>
  <c r="F94" i="25" s="1"/>
  <c r="F56" i="25"/>
  <c r="F87" i="25"/>
  <c r="F104" i="25"/>
  <c r="F68" i="25"/>
  <c r="F107" i="25"/>
  <c r="F91" i="25"/>
  <c r="F105" i="25" l="1"/>
  <c r="F60" i="25" l="1"/>
  <c r="F75" i="25"/>
  <c r="F99" i="25" s="1"/>
  <c r="F72" i="25"/>
  <c r="F78" i="25" s="1"/>
  <c r="F101" i="25" s="1"/>
  <c r="F76" i="25" l="1"/>
  <c r="F100" i="25" s="1"/>
  <c r="F73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F27" authorId="0" shapeId="0" xr:uid="{4D179F1A-C9A8-44B2-B515-F11E68F47BF3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Changed from 1 (full waiver) to 0 (no waiver). Waiving ALL subscription revenue in Y1 created near-zero revenue (~$57K) against $500K pre-seed burn. Brands now pay from Day 1. Explorer tier remains free.</t>
        </r>
      </text>
    </comment>
    <comment ref="B39" authorId="0" shapeId="0" xr:uid="{4BCF7E62-CA81-4ED3-B06C-41539CFD4678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Y1 CAC kept at $25 (early adopters, viral/organic). CAC now escalates Y2-Y5 as organic channels exhaust and paid acquisition required.</t>
        </r>
      </text>
    </comment>
    <comment ref="C39" authorId="0" shapeId="0" xr:uid="{D4C14220-418D-4E1B-BDF3-6EB9F4522FAE}">
      <text>
        <r>
          <rPr>
            <b/>
            <sz val="9"/>
            <color indexed="81"/>
            <rFont val="Tahoma"/>
            <charset val="1"/>
          </rPr>
          <t>AUDIT FIX: Y2 Creator CAC = $30 (was $25 flat). Escalating CAC: organic→paid mix as scale increases.</t>
        </r>
      </text>
    </comment>
    <comment ref="D39" authorId="0" shapeId="0" xr:uid="{BD5CF9D9-901D-4589-A768-7177560CB21F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Y3 CAC increased from $25 to $40. 8,000 new creators requires significant paid spend.</t>
        </r>
      </text>
    </comment>
    <comment ref="E39" authorId="0" shapeId="0" xr:uid="{D82F0F2B-9B7F-47ED-8FD0-546E0B9ECB72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Y4 CAC increased from $25 to $60. 20,000 new creators pushes beyond core audience.</t>
        </r>
      </text>
    </comment>
    <comment ref="F39" authorId="0" shapeId="0" xr:uid="{2AEC57CD-052F-45D9-BCAC-96DB53D0B2D7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Y5 CAC increased from $25 to $80. 50,000 new creators requires broad paid marketing at scale.</t>
        </r>
      </text>
    </comment>
    <comment ref="B43" authorId="0" shapeId="0" xr:uid="{D91B36B1-9C4E-4F81-AF28-7D41F6EBF2EF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No conversion in Y1 — all brands are new acquisitions, not Explorer converts</t>
        </r>
      </text>
    </comment>
    <comment ref="B59" authorId="0" shapeId="0" xr:uid="{2D5D0DFA-9ECE-4E89-B6F8-5E77DC495B0D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Reduced from 4%/mo (38.7% annual) to 2.5%/mo (26.2% annual). Prior rate implied ~65% GRR vs. 80%+ SMB SaaS benchmark.</t>
        </r>
      </text>
    </comment>
    <comment ref="B60" authorId="0" shapeId="0" xr:uid="{D8DC04BE-6871-486D-B59C-8BDFA066AD6C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Reduced from 2.5%/mo (26.2% annual) to 1.5%/mo (16.6% annual). Aligns closer to mid-market SaaS GRR benchmarks of 85-90%.</t>
        </r>
      </text>
    </comment>
    <comment ref="B61" authorId="0" shapeId="0" xr:uid="{832A9851-7467-439C-89D2-591669F1A499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Reduced from 1%/mo (11.4% annual) to 0.5%/mo (5.8% annual). Enterprise SaaS GRR benchmark is 90-95%.</t>
        </r>
      </text>
    </comment>
    <comment ref="B91" authorId="0" shapeId="0" xr:uid="{479B6543-0AE4-459F-8796-DF4F43FAA4AA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Added Stripe-equivalent processing fee (2.9%). Applied to total revenue as all transactions (subs, add-ons, deal fees) pass through payment processor.</t>
        </r>
      </text>
    </comment>
    <comment ref="B92" authorId="0" shapeId="0" xr:uid="{352E23AD-71FF-48D5-993D-74ED6D7A8FA9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AML/KYC/SEC monitoring per deal per year. Fintech platforms typically spend $10-$25/deal. Includes identity verification, sanctions screening, equity transaction compliance.</t>
        </r>
      </text>
    </comment>
    <comment ref="B93" authorId="0" shapeId="0" xr:uid="{81B0FB11-F219-41F1-8075-0EA772723DBD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Social media APIs, audience data, financial data feeds for Creator Genome. At scale, volume discounts may apply. Covers: social platform APIs, demographic data providers, content analytics.</t>
        </r>
      </text>
    </comment>
    <comment ref="B94" authorId="0" shapeId="0" xr:uid="{770FCE46-C309-4A37-A069-AC6BFAD895FE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Per-deal escrow/custodial service for equity transactions. Range: $10-$30/deal depending on deal complexity. Covers: escrow account setup, fund holding, disbursement.</t>
        </r>
      </text>
    </comment>
    <comment ref="B95" authorId="0" shapeId="0" xr:uid="{B919DF38-679C-4AB3-9FFB-38D6A1C0926C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Y1-Y2: Standard Stripe rate 2.9%. At $3M+ GMV (Y3), negotiate to ~2.5%. At $7M+ (Y4): ~2.2%.</t>
        </r>
      </text>
    </comment>
    <comment ref="D95" authorId="0" shapeId="0" xr:uid="{6A9E4396-7D47-4413-907D-463B4D390CFE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Negotiated volume rate at $3M+ revenue</t>
        </r>
      </text>
    </comment>
    <comment ref="E95" authorId="0" shapeId="0" xr:uid="{64389198-1671-48D5-AA32-AAB288CFC648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Negotiated rate at $7M+ revenue</t>
        </r>
      </text>
    </comment>
    <comment ref="F95" authorId="0" shapeId="0" xr:uid="{6469A8F2-AE2E-4BCF-BABA-C023EA593A4B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Maintained negotiated rate at $16M+ revenue</t>
        </r>
      </text>
    </comment>
    <comment ref="B96" authorId="0" shapeId="0" xr:uid="{ED44B9CD-24A8-4953-83D4-8BB5825C9F44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No discount Y1 — too small for committed-use pricing</t>
        </r>
      </text>
    </comment>
    <comment ref="C96" authorId="0" shapeId="0" xr:uid="{27552215-17C4-4CBC-9869-2A30D4A3A939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No discount Y2</t>
        </r>
      </text>
    </comment>
    <comment ref="D96" authorId="0" shapeId="0" xr:uid="{5D2A0E07-2DD8-4DB4-8504-A0CC3B68D3B5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10% committed-use discount at ~$81K cloud spend</t>
        </r>
      </text>
    </comment>
    <comment ref="E96" authorId="0" shapeId="0" xr:uid="{908367AC-8B4D-4B3E-A5ED-5D986E81F949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15% discount at ~$190K cloud spend</t>
        </r>
      </text>
    </comment>
    <comment ref="F96" authorId="0" shapeId="0" xr:uid="{2E42E635-D611-494B-B4D2-901867678A34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20% discount at ~$458K cloud spend (enterprise-tier pricing)</t>
        </r>
      </text>
    </comment>
    <comment ref="B98" authorId="0" shapeId="0" xr:uid="{AD2A1398-A337-414D-8D69-3E9285EE91D0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4% annual salary escalation. Reflects market raises + inflation. Applied to all roles from Y2 onward. Below-market Y1 salaries are equity-compensated (see Personnel notes).</t>
        </r>
      </text>
    </comment>
    <comment ref="B99" authorId="0" shapeId="0" xr:uid="{ACE4E208-74B4-4A8B-A39A-FBAADA43E1E0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Centralized intangible asset investment on Assumptions sheet. Y1: $40K initial Creator Genome IP development. Y2-Y3: $75K/yr major AI enhancements. Y4-Y5: $50K/yr maintenance &amp; iteration. Previously hardcoded on Cash Flow Statement.</t>
        </r>
      </text>
    </comment>
    <comment ref="B100" authorId="0" shapeId="0" xr:uid="{C23565DD-B1D4-498C-806B-24725EA7BE48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Added SBC assumption. 10% of total salary cost as non-cash equity compensation. Reflects below-market salaries offset by equity grants (CEO $50K vs $147K market, CTO $100K vs $150K+ market). SBC is a non-cash expense on the P&amp;L but added back on the Cash Flow Statement. Per Carta 2024: median seed-stage SBC = 8-15% of cash comp.</t>
        </r>
      </text>
    </comment>
    <comment ref="F103" authorId="0" shapeId="0" xr:uid="{2B2039B2-7405-4DEF-AC84-46142613B637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Revenue multiples removed. Pre-seed valuations should use flat pre-money, not revenue multiples on &lt;$100K revenue.</t>
        </r>
      </text>
    </comment>
    <comment ref="G103" authorId="0" shapeId="0" xr:uid="{BA895468-698F-44CC-B9DE-9F7BF7D2EBE6}">
      <text>
        <r>
          <rPr>
            <b/>
            <sz val="9"/>
            <color indexed="81"/>
            <rFont val="Tahoma"/>
            <charset val="1"/>
          </rPr>
          <t>CORRECTED per Business Plan v3.0 (March 2026): Pre-Seed pre-money changed from $3M to $6,166,667. Aligns with 7.5% equity sold (target 5-10%).</t>
        </r>
      </text>
    </comment>
    <comment ref="F104" authorId="0" shapeId="0" xr:uid="{7A6327E2-2587-44CC-9E68-D698B38004AB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Revenue multiples removed for Seed. Flat pre-money used instead.</t>
        </r>
      </text>
    </comment>
    <comment ref="G104" authorId="0" shapeId="0" xr:uid="{B6B2BCDA-503C-4220-8783-80C058EBA8A1}">
      <text>
        <r>
          <rPr>
            <b/>
            <sz val="9"/>
            <color indexed="81"/>
            <rFont val="Tahoma"/>
            <charset val="1"/>
          </rPr>
          <t>CORRECTED per Business Plan v3.0 (March 2026): Seed pre-money changed from $25M to $17M. Aligns with 15% equity sold (target 10-20%).</t>
        </r>
      </text>
    </comment>
    <comment ref="F105" authorId="0" shapeId="0" xr:uid="{297D846E-765C-406F-B03A-5C56FC3BD941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Revenue multiples removed for Series A. Flat pre-money used instead.</t>
        </r>
      </text>
    </comment>
    <comment ref="G105" authorId="0" shapeId="0" xr:uid="{9FC2CFD4-AF1E-498E-827A-F7278D4E38C7}">
      <text>
        <r>
          <rPr>
            <b/>
            <sz val="9"/>
            <color indexed="81"/>
            <rFont val="Tahoma"/>
            <charset val="1"/>
          </rPr>
          <t>CORRECTED per Business Plan v3.0 (March 2026): Series A pre-money changed from $120M to $60M. Aligns with 20% equity sold (target 15-25%).</t>
        </r>
      </text>
    </comment>
    <comment ref="B112" authorId="0" shapeId="0" xr:uid="{002946BC-1CA4-4B12-B828-3134490BE562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Increased from 12% to 45%. VCs typically use 30-70% discount rates for early-stage startups (Sahlman 1998, Bhagat 2014). 12% is appropriate for mature public companies, not pre-seed.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B22" authorId="0" shapeId="0" xr:uid="{25F9BBAF-272D-40C5-98AE-059FB00D23C3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SBC expense = Total Salary Cost × SBC % (Assumptions!B100). Non-cash expense recognized on P&amp;L, added back on CF Statement, credited to equity on BS.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B28" authorId="0" shapeId="0" xr:uid="{C68C8469-0C1F-4E11-BE36-9D748AFE0548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Increased from $15K to $35K. Equity deal compliance requires SEC/securities legal review even at pre-seed. Covers: formation docs, equity transaction templates, compliance framework.</t>
        </r>
      </text>
    </comment>
    <comment ref="B30" authorId="0" shapeId="0" xr:uid="{D928A145-D6F4-4AB5-B464-9E6A93D080EC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$2K/employee for SaaS tools (Slack, Jira, AWS dev, etc.)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B17" authorId="0" shapeId="0" xr:uid="{436C5A5E-9654-4ED2-B2B2-FE191279D3F7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Now references Assumptions!B99 instead of hardcoded $40,000. Intangible asset investment centralized on Assumptions sheet.</t>
        </r>
      </text>
    </comment>
    <comment ref="C17" authorId="0" shapeId="0" xr:uid="{9C86A402-4CEC-4D2F-87AE-39DD7DB1A59D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Addition now references Assumptions!C99 instead of hardcoded +75000.</t>
        </r>
      </text>
    </comment>
    <comment ref="D17" authorId="0" shapeId="0" xr:uid="{AAC9CCF3-A6E7-465D-9BFE-39E8F5044FE1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References Assumptions!D99</t>
        </r>
      </text>
    </comment>
    <comment ref="E17" authorId="0" shapeId="0" xr:uid="{0425276A-4576-4C41-9260-BC26837CA55E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References Assumptions!E99</t>
        </r>
      </text>
    </comment>
    <comment ref="F17" authorId="0" shapeId="0" xr:uid="{E18D4B5C-110B-4FE1-9650-327C51E85F67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References Assumptions!F99</t>
        </r>
      </text>
    </comment>
    <comment ref="B37" authorId="0" shapeId="0" xr:uid="{85EBDC54-E9DE-4D7F-B4BF-69120E3924E0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Paid-in Capital now includes SBC credit. = Equity Raised + SBC Expense. SBC is a non-cash expense that credits APIC.</t>
        </r>
      </text>
    </comment>
    <comment ref="C37" authorId="0" shapeId="0" xr:uid="{B38FE584-6203-4905-B66F-687E4238C95B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Cumulative equity raised + cumulative SBC. Y2 SBC added.</t>
        </r>
      </text>
    </comment>
    <comment ref="D37" authorId="0" shapeId="0" xr:uid="{1C290E2D-3A49-4878-ACDC-84B94CC28389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No new equity in Y3; SBC credited to APIC.</t>
        </r>
      </text>
    </comment>
    <comment ref="E37" authorId="0" shapeId="0" xr:uid="{CD3294B3-3C03-45EA-B060-DBB215B1F159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Series A $15M + SBC credited to APIC.</t>
        </r>
      </text>
    </comment>
    <comment ref="F37" authorId="0" shapeId="0" xr:uid="{95717BAD-3996-480B-8FCD-563F7E9EB545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No new equity in Y5; SBC credited to APIC.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B12" authorId="0" shapeId="0" xr:uid="{201863B0-2078-40EF-ADC7-F166DC6CF3BB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D&amp;A now = IS PP&amp;E depreciation + BS accumulated intangible amortization (Y1 = full amount). More robust than prior formula (Intangible/Life) which was fragile to amortization method changes.</t>
        </r>
      </text>
    </comment>
    <comment ref="C12" authorId="0" shapeId="0" xr:uid="{02DC9801-B9DE-4B4D-82C9-00F6DCEDAD6A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D&amp;A = IS PP&amp;E depreciation + annual change in BS intangible amortization. Directly references the amortization expense for the period.</t>
        </r>
      </text>
    </comment>
    <comment ref="D12" authorId="0" shapeId="0" xr:uid="{29375B8C-E79A-4375-9BDA-E9E75AC18974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D&amp;A = IS depreciation + intangible amort change.</t>
        </r>
      </text>
    </comment>
    <comment ref="E12" authorId="0" shapeId="0" xr:uid="{02D66063-18F0-4923-A23A-DF5B1C53340F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D&amp;A = IS depreciation + intangible amort change.</t>
        </r>
      </text>
    </comment>
    <comment ref="F12" authorId="0" shapeId="0" xr:uid="{32CDA7C2-6A05-4ECF-ABA7-47B504AD0B2B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D&amp;A = IS depreciation + intangible amort change.</t>
        </r>
      </text>
    </comment>
    <comment ref="B13" authorId="0" shapeId="0" xr:uid="{35492775-11E7-45B0-81AD-B4C55896BC35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Added SBC as non-cash add-back. = Total Salary Cost × SBC % from Assumptions!B100. Non-cash equity compensation must be added back to operating cash flow.</t>
        </r>
      </text>
    </comment>
    <comment ref="C13" authorId="0" shapeId="0" xr:uid="{FFC9DBD4-CD83-4B97-983E-B38E44C7352E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SBC add-back Y2 = Salary × SBC%</t>
        </r>
      </text>
    </comment>
    <comment ref="D13" authorId="0" shapeId="0" xr:uid="{D8AECDB6-14E4-4744-85C7-ACA031186C52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SBC add-back Y3. Rate decreases to 8% as salaries approach market.</t>
        </r>
      </text>
    </comment>
    <comment ref="E13" authorId="0" shapeId="0" xr:uid="{0987ED16-6DCC-4D81-951E-EEDAC636D4E6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SBC add-back Y4 at 6%.</t>
        </r>
      </text>
    </comment>
    <comment ref="F13" authorId="0" shapeId="0" xr:uid="{329C925B-9F11-42D8-8F32-61A7A85F5EA6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SBC add-back Y5 at 5%. Declining % reflects maturing comp structure.</t>
        </r>
      </text>
    </comment>
    <comment ref="B27" authorId="0" shapeId="0" xr:uid="{2BCB8F8C-DE6A-4147-9769-ECBCD154AA31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Was hardcoded -$40,000. Now references Assumptions!B99 (intangible investment). Negative = cash outflow.</t>
        </r>
      </text>
    </comment>
    <comment ref="C27" authorId="0" shapeId="0" xr:uid="{671592F8-054D-40E1-9420-52DF8E690712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Was hardcoded -$75,000. Now references Assumptions!C99.</t>
        </r>
      </text>
    </comment>
    <comment ref="D27" authorId="0" shapeId="0" xr:uid="{BE506F3C-7A87-4DF3-9D76-C1200BAC2303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Was hardcoded -$75,000. Now references Assumptions!D99.</t>
        </r>
      </text>
    </comment>
    <comment ref="E27" authorId="0" shapeId="0" xr:uid="{0EADFAAF-0DEF-4988-828C-CFC00C7EB380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Was hardcoded -$50,000. Now references Assumptions!E99.</t>
        </r>
      </text>
    </comment>
    <comment ref="F27" authorId="0" shapeId="0" xr:uid="{25E4979A-5A36-4521-9B3F-4AB55CB508DF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Was hardcoded -$50,000. Now references Assumptions!F99.</t>
        </r>
      </text>
    </comment>
    <comment ref="A58" authorId="0" shapeId="0" xr:uid="{8C1800F4-2335-4181-B6E0-9E9D2AC0100C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Stress test shows what happens if Series A ($15M) is delayed from Y4 Q1 to Y4 Q3. During the delay, the company burns at Y3 rates with no new funding.</t>
        </r>
      </text>
    </comment>
    <comment ref="E60" authorId="0" shapeId="0" xr:uid="{54F3F787-3D48-4B3E-BA8E-7109F8DBFA77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If Series A delays 6 months: Y3 ending cash minus 6 months of Y4 burn rate (Ops+Inv). Shows whether the company survives the delay.</t>
        </r>
      </text>
    </comment>
    <comment ref="E61" authorId="0" shapeId="0" xr:uid="{AF897C92-FAC8-4D33-BA84-00D6CB8C18AE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How many months of runway from Y3 ending cash at Y4 burn rate. If &lt;6 months, the company would die before delayed Series A arrives.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H6" authorId="0" shapeId="0" xr:uid="{487C588C-151A-4AF1-9686-5003C84B05BC}">
      <text>
        <r>
          <rPr>
            <b/>
            <sz val="9"/>
            <color indexed="81"/>
            <rFont val="Tahoma"/>
            <family val="2"/>
          </rPr>
          <t>Pre-seed stage founder salary; below market with equity compensation</t>
        </r>
      </text>
    </comment>
    <comment ref="H7" authorId="0" shapeId="0" xr:uid="{57024934-9B5D-4E18-A66B-4A2199C6ECD6}">
      <text>
        <r>
          <rPr>
            <b/>
            <sz val="9"/>
            <color indexed="81"/>
            <rFont val="Tahoma"/>
            <family val="2"/>
          </rPr>
          <t>Pre-seed stage CTO salary; below market with equity compensation</t>
        </r>
      </text>
    </comment>
    <comment ref="F27" authorId="0" shapeId="0" xr:uid="{62B47534-B57D-49D9-94B4-390A3241F37D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Increased from 7 to 8. Additional AE needed for 2,960 brand target.</t>
        </r>
      </text>
    </comment>
    <comment ref="C33" authorId="0" shapeId="0" xr:uid="{FCC820D1-7630-4CF8-A23D-29819E16DF45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Added CS Lead in Y2 (was Y3). Brands need onboarding support from first cohort.</t>
        </r>
      </text>
    </comment>
    <comment ref="D34" authorId="0" shapeId="0" xr:uid="{EB5F55CB-6852-4F20-B3AE-4CD1003BFBC8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Added 1 Brand Onboarding Specialist in Y3 (was 0). 740 brands need dedicated onboarding.</t>
        </r>
      </text>
    </comment>
    <comment ref="E34" authorId="0" shapeId="0" xr:uid="{D4C4A847-FFBC-4528-80AA-0F1C0557A0A5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Increased from 2 to 3.</t>
        </r>
      </text>
    </comment>
    <comment ref="F34" authorId="0" shapeId="0" xr:uid="{5737C492-8F64-40EF-A490-5BB80C0C59C2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Increased from 4 to 6. Brings brand:CSM ratio from 370:1 to 269:1.</t>
        </r>
      </text>
    </comment>
    <comment ref="B35" authorId="0" shapeId="0" xr:uid="{B89C30F0-F075-4ADB-9F99-250B1FA40144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Added Creator Community Manager in Y1 (was 0). Critical for early creator engagement and retention.</t>
        </r>
      </text>
    </comment>
    <comment ref="F35" authorId="0" shapeId="0" xr:uid="{653DC756-8BDB-4234-B269-8BD425A994A2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Increased from 3 to 4. 50K creators need community management.</t>
        </r>
      </text>
    </comment>
    <comment ref="B48" authorId="0" shapeId="0" xr:uid="{C6C6B854-F2C1-47AF-84C8-A79F8B8E57C2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25% benefits/payroll tax rate (standard 20-30% range). EQUITY COMPENSATION NOTE: CEO ($50K), CTO ($100K), and Head of AI/ML ($165K) are below market rates. These positions are compensated with significant equity stakes (see Funding/Cap Table). Per Kruze 2025: seed CEO avg = $147K, CTO avg = $133K. Post-Series A, salaries should escalate to market (now modeled at 4%/yr from Assumptions).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C26" authorId="0" shapeId="0" xr:uid="{B47E4A00-B2AA-4271-9E90-4CFB1BE6C65B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Was hardcoded 0.12. Now references Assumptions!C43 (central control panel).</t>
        </r>
      </text>
    </comment>
    <comment ref="D26" authorId="0" shapeId="0" xr:uid="{8CB6891D-1B65-46D4-A77B-1FB4DFE3C17F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Was hardcoded 0.15. Now references Assumptions!D43.</t>
        </r>
      </text>
    </comment>
    <comment ref="E26" authorId="0" shapeId="0" xr:uid="{866E9E36-A9F0-4C7F-81AD-19E465C141F6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Was hardcoded 0.18. Now references Assumptions!E43.</t>
        </r>
      </text>
    </comment>
    <comment ref="F26" authorId="0" shapeId="0" xr:uid="{99B4C6FA-3EB5-4BAE-96B2-56E9CBB453BD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Was hardcoded 0.20. Now references Assumptions!F43.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B22" authorId="0" shapeId="0" xr:uid="{B4DE15E1-BD5B-4A2B-B666-440517417C73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Volume discount on infrastructure. 0% Y1-Y2, 10% Y3, 15% Y4, 20% Y5.</t>
        </r>
      </text>
    </comment>
    <comment ref="B31" authorId="0" shapeId="0" xr:uid="{D90824A7-6135-4C4F-935F-CCE27A9CB1FD}">
      <text>
        <r>
          <rPr>
            <b/>
            <sz val="9"/>
            <color indexed="81"/>
            <rFont val="Tahoma"/>
            <charset val="1"/>
          </rPr>
          <t>AUDIT FIX: Now uses scaled payment processing rate from Assumptions. Y1-Y2: 2.9%, Y3: 2.5%, Y4-Y5: 2.2%.</t>
        </r>
      </text>
    </comment>
    <comment ref="B32" authorId="0" shapeId="0" xr:uid="{40FA7AA0-EFBC-4E18-9D1E-80334B87739F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$0.30 per transaction: monthly subscription charges (brands×12) + deal transactions</t>
        </r>
      </text>
    </comment>
    <comment ref="B36" authorId="0" shapeId="0" xr:uid="{ABE3A6C0-E314-4967-A583-8DF3FCE15BF7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$15/deal/year × total deals. Covers identity verification, sanctions screening, equity compliance.</t>
        </r>
      </text>
    </comment>
    <comment ref="B37" authorId="0" shapeId="0" xr:uid="{07AF6223-6617-40BC-A76C-8F8FDB4607FC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$3/active creator/year for social media APIs, audience data, financial feeds.</t>
        </r>
      </text>
    </comment>
    <comment ref="B38" authorId="0" shapeId="0" xr:uid="{19656731-13CE-48F4-8AF9-CB8E5052A306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$20/deal for escrow account setup, fund holding, and disbursement.</t>
        </r>
      </text>
    </comment>
    <comment ref="B48" authorId="0" shapeId="0" xr:uid="{8F26F5DE-357C-4F80-8998-4C7DC70E776D}">
      <text>
        <r>
          <rPr>
            <b/>
            <sz val="9"/>
            <color indexed="81"/>
            <rFont val="Tahoma"/>
            <charset val="1"/>
          </rPr>
          <t>AUDIT FIX: Now includes compliance/data/escrow costs (row 47) plus volume discounts on infrastructure.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B26" authorId="0" shapeId="0" xr:uid="{351FDB70-27FA-4BD1-A967-6586F69C9F0A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Updated from $0.002/$0.008 to $0.001/$0.005 — current Claude Haiku 4.5 pricing ($1/$5 per MTok). GPT-4o mini is even cheaper at $0.15/$0.60 per MTok.</t>
        </r>
      </text>
    </comment>
    <comment ref="C27" authorId="0" shapeId="0" xr:uid="{60DB8239-36DA-4424-A135-6DD5792E1AF4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Now references Haiku price cells B48/C48 instead of hardcoded 0.002/0.008</t>
        </r>
      </text>
    </comment>
    <comment ref="B34" authorId="0" shapeId="0" xr:uid="{CC26EEDC-254D-4E5C-83D2-355143BE3F06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Updated from $0.002/$0.008 to $0.001/$0.005 (Haiku 4.5 tier)</t>
        </r>
      </text>
    </comment>
    <comment ref="C34" authorId="0" shapeId="0" xr:uid="{9F27EF49-1491-4FB8-A206-869D8DFB0AC9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Updated from $0.002/$0.008 to $0.001/$0.005 (Haiku 4.5 tier)</t>
        </r>
      </text>
    </comment>
    <comment ref="B35" authorId="0" shapeId="0" xr:uid="{0D1979E6-ED77-44F9-9C83-C8C2908C9130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Now references Haiku price cells B48/C48 instead of hardcoded values</t>
        </r>
      </text>
    </comment>
    <comment ref="C36" authorId="0" shapeId="0" xr:uid="{F6AF8AAE-D6FD-438E-8E90-37D162364267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Now references Haiku price cells B48/C48 instead of hardcoded values</t>
        </r>
      </text>
    </comment>
    <comment ref="B48" authorId="0" shapeId="0" xr:uid="{508C8445-D5F3-4251-B16B-77F0C7B53B89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Updated from $0.002 to $0.001/1K — Claude Haiku 4.5 = $1/MTok input</t>
        </r>
      </text>
    </comment>
    <comment ref="C48" authorId="0" shapeId="0" xr:uid="{832A8726-0F6C-4AAF-9824-E57BA5D987FF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Updated from $0.008 to $0.005/1K — Claude Haiku 4.5 = $5/MTok output</t>
        </r>
      </text>
    </comment>
    <comment ref="B52" authorId="0" shapeId="0" xr:uid="{C95A1D80-0F82-4836-ABA5-DAD59CECDD74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Y1 baseline — no reduction</t>
        </r>
      </text>
    </comment>
    <comment ref="C52" authorId="0" shapeId="0" xr:uid="{FA49CF67-B723-47D7-BFBB-2296C0588048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50% reduction (was 0.85). Conservative vs observed 5-10x/yr deflation per Epoch AI / Stanford HAI 2025 data.</t>
        </r>
      </text>
    </comment>
    <comment ref="D52" authorId="0" shapeId="0" xr:uid="{3320C3F3-EA5C-4D71-AA31-64F824BB95FF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75% cumulative reduction (was 0.72)</t>
        </r>
      </text>
    </comment>
    <comment ref="E52" authorId="0" shapeId="0" xr:uid="{244793AB-9510-4582-91D9-0491A05D00B5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87.5% cumulative reduction (was 0.61)</t>
        </r>
      </text>
    </comment>
    <comment ref="F52" authorId="0" shapeId="0" xr:uid="{FA6F3BF2-65BD-49D4-A8E7-6738E0BFB07C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93.75% cumulative reduction (was 0.52). Still conservative — real deflation likely &gt;95% over 5 years.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B18" authorId="0" shapeId="0" xr:uid="{9613212C-CBB1-47D7-BF60-E243609D11BC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Changed from $B$39 (flat $25) to year-specific reference. CAC now escalates per audit: $25→$30→$40→$60→$80.</t>
        </r>
      </text>
    </comment>
    <comment ref="C18" authorId="0" shapeId="0" xr:uid="{4FE6709B-2F97-4AE6-A61A-1260DEC7B7DD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Y2 Creator CAC = $30 (was $25 flat).</t>
        </r>
      </text>
    </comment>
    <comment ref="D18" authorId="0" shapeId="0" xr:uid="{AFBD54B5-9FDA-4BE1-B699-1DD2626602C0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Y3 Creator CAC = $40 (was $25 flat).</t>
        </r>
      </text>
    </comment>
    <comment ref="E18" authorId="0" shapeId="0" xr:uid="{4BA6A801-BF60-4E7C-8943-977D28CB27F3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Y4 Creator CAC = $60 (was $25 flat).</t>
        </r>
      </text>
    </comment>
    <comment ref="F18" authorId="0" shapeId="0" xr:uid="{E324660A-3151-43C6-87E0-D02EE7F980DB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AUDIT FIX: Y5 Creator CAC = $80 (was $25 flat).</t>
        </r>
      </text>
    </comment>
    <comment ref="A22" authorId="0" shapeId="0" xr:uid="{730EAB1E-E7DB-44D0-BA93-6E60A6D4E2CA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NOTE: 'Creator LTV' = platform revenue generated BY creator activity (transaction fees), NOT revenue paid TO creators. Creator CAC is low ($25-$80) because creators join free — CAC represents marketing spend only. High LTV:CAC ratios (21-127x) reflect creators as revenue drivers on a low-cost supply side. Not directly comparable to traditional SaaS LTV:CAC.</t>
        </r>
      </text>
    </comment>
    <comment ref="A23" authorId="0" shapeId="0" xr:uid="{2C2F2F7C-7C21-408C-A034-16532F35A803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NOTE: See Creator LTV note. These ratios are methodologically correct but may mislead investors expecting traditional SaaS-style LTV:CAC benchmarks. Recommend presenting alongside brand-side LTV:CAC for context.</t>
        </r>
      </text>
    </comment>
    <comment ref="A29" authorId="0" shapeId="0" xr:uid="{58C1D896-FFBD-48E4-9B47-1D514F70429C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NOTE: NRR formula = (1 - Blended Churn) + 15% expansion. The 15% expansion rate assumes existing brands increase spend through tier upgrades (Starter→Professional→Enterprise) and increased deal volume. Benchmark: High Alpha median NRR = 100% (&lt;$1M ARR), 104% ($1-5M ARR). HypeStake's ~92.5% NRR is 7.5-11.5pp below benchmarks, driven by elevated churn. The 15% expansion assumption partially offsets but is not independently validated.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B12" authorId="0" shapeId="0" xr:uid="{01930982-19CA-4A23-BA2F-78B95CAA5745}">
      <text>
        <r>
          <rPr>
            <b/>
            <sz val="9"/>
            <color indexed="81"/>
            <rFont val="Tahoma"/>
            <charset val="1"/>
          </rPr>
          <t>Andrew:</t>
        </r>
        <r>
          <rPr>
            <sz val="9"/>
            <color indexed="81"/>
            <rFont val="Tahoma"/>
            <charset val="1"/>
          </rPr>
          <t xml:space="preserve">
Revenue multiples removed per audit. Flat pre-money valuations used instead.</t>
        </r>
      </text>
    </comment>
    <comment ref="B13" authorId="0" shapeId="0" xr:uid="{DB3DFCB7-B244-4821-B166-EFCD593EDA9A}">
      <text>
        <r>
          <rPr>
            <b/>
            <sz val="9"/>
            <color indexed="81"/>
            <rFont val="Tahoma"/>
            <charset val="1"/>
          </rPr>
          <t>CORRECTED (v3.0, Mar 2026): Pre-Seed pre-money $6,166,667 (was $3M). Aligns with 7.5% equity sold target.</t>
        </r>
      </text>
    </comment>
    <comment ref="C13" authorId="0" shapeId="0" xr:uid="{726DD057-1C62-43F5-82B9-BE888ADD3765}">
      <text>
        <r>
          <rPr>
            <b/>
            <sz val="9"/>
            <color indexed="81"/>
            <rFont val="Tahoma"/>
            <charset val="1"/>
          </rPr>
          <t>CORRECTED (v3.0, Mar 2026): Seed pre-money $17M (was $25M). Aligns with 15% equity sold target.</t>
        </r>
      </text>
    </comment>
    <comment ref="D13" authorId="0" shapeId="0" xr:uid="{DC21D901-A602-4153-B307-1D0B274CDA0D}">
      <text>
        <r>
          <rPr>
            <b/>
            <sz val="9"/>
            <color indexed="81"/>
            <rFont val="Tahoma"/>
            <charset val="1"/>
          </rPr>
          <t>CORRECTED (v3.0, Mar 2026): Series A pre-money $60M (was $120M). Aligns with 20% equity sold target.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A8" authorId="0" shapeId="0" xr:uid="{C3C0EBAA-23DE-433B-85E1-23B2F44DDC13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Prior formula excluded SBC, causing false FAIL. IS Total OpEx includes SBC; OpEx sheet does not. Fixed to add SBC.</t>
        </r>
      </text>
    </comment>
    <comment ref="A9" authorId="0" shapeId="0" xr:uid="{AFAD4639-D83D-4317-8E72-4864ED5F7244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Replaced stale Y1 subscription waiver check. Now verifies brand counts match across Assumptions, CoR, Yearly Summary, and Unit Economics.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</author>
  </authors>
  <commentList>
    <comment ref="B13" authorId="0" shapeId="0" xr:uid="{28C64B34-C246-4A37-ADC5-43D3EBB84831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Brands now adjusted by Deal Growth × inverse Churn (higher churn = fewer retained brands).</t>
        </r>
      </text>
    </comment>
    <comment ref="B14" authorId="0" shapeId="0" xr:uid="{9CB519F4-D2FB-44B3-B1FB-6387DADDF701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Revenue now uses Deal Growth × Take-Rate × Sub Conversion. All 3 revenue-affecting parameters are wired.</t>
        </r>
      </text>
    </comment>
    <comment ref="B35" authorId="0" shapeId="0" xr:uid="{5B2BEDC9-E2D8-4493-AC54-4B5F003A1945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AUDIT FIX: ARR adjusted by Deal Growth × Sub Conversion. Sub conversion affects recurring revenue (ARR).</t>
        </r>
      </text>
    </comment>
    <comment ref="B40" authorId="0" shapeId="0" xr:uid="{32AA64ED-9432-4D6B-9B0A-E9F67917DDAE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COGS adjusted by CAC multiplier — higher CAC drives proportionally higher variable costs.</t>
        </r>
      </text>
    </comment>
    <comment ref="B42" authorId="0" shapeId="0" xr:uid="{5C958091-5943-434A-8709-08369B073299}">
      <text>
        <r>
          <rPr>
            <b/>
            <sz val="9"/>
            <color indexed="81"/>
            <rFont val="Tahoma"/>
            <family val="2"/>
          </rPr>
          <t>Andrew:</t>
        </r>
        <r>
          <rPr>
            <sz val="9"/>
            <color indexed="81"/>
            <rFont val="Tahoma"/>
            <family val="2"/>
          </rPr>
          <t xml:space="preserve">
OpEx held constant across scenarios — conservative assumption.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<sst xmlns="http://schemas.openxmlformats.org/spreadsheetml/2006/main" count="1192" uniqueCount="1004">
  <si>
    <t>Total Revenue</t>
  </si>
  <si>
    <t>MRR</t>
  </si>
  <si>
    <t>ARR</t>
  </si>
  <si>
    <t>Revenue Mix</t>
  </si>
  <si>
    <t>Market Share</t>
  </si>
  <si>
    <t>UNIT ECONOMICS</t>
  </si>
  <si>
    <t>LTV</t>
  </si>
  <si>
    <t>CAC</t>
  </si>
  <si>
    <t>LTV:CAC</t>
  </si>
  <si>
    <t>Gross Margin</t>
  </si>
  <si>
    <t>Status</t>
  </si>
  <si>
    <t>YEAR-OVER-YEAR METRICS</t>
  </si>
  <si>
    <t>Year</t>
  </si>
  <si>
    <t>Growth %</t>
  </si>
  <si>
    <t>ARPU</t>
  </si>
  <si>
    <t>Year 1</t>
  </si>
  <si>
    <t>Year 2</t>
  </si>
  <si>
    <t>Year 3</t>
  </si>
  <si>
    <t>Year 4</t>
  </si>
  <si>
    <t>Year 5</t>
  </si>
  <si>
    <t>Scenario</t>
  </si>
  <si>
    <t>5Y Revenue</t>
  </si>
  <si>
    <t>Conservative</t>
  </si>
  <si>
    <t>Base Case</t>
  </si>
  <si>
    <t>Optimistic</t>
  </si>
  <si>
    <t>NOL Limitation %:</t>
  </si>
  <si>
    <t>Y1</t>
  </si>
  <si>
    <t>Y2</t>
  </si>
  <si>
    <t>Y3</t>
  </si>
  <si>
    <t>Y4</t>
  </si>
  <si>
    <t>Y5</t>
  </si>
  <si>
    <t>Tax Rate:</t>
  </si>
  <si>
    <t>Revenue</t>
  </si>
  <si>
    <t>Cost of Revenue</t>
  </si>
  <si>
    <t>Gross Profit</t>
  </si>
  <si>
    <t>Sales &amp; Marketing</t>
  </si>
  <si>
    <t>Research &amp; Development</t>
  </si>
  <si>
    <t>General &amp; Administrative</t>
  </si>
  <si>
    <t>Total Operating Expenses</t>
  </si>
  <si>
    <t>EBITDA</t>
  </si>
  <si>
    <t>Depreciation &amp; Amortization</t>
  </si>
  <si>
    <t>EBIT</t>
  </si>
  <si>
    <t>Interest Expense</t>
  </si>
  <si>
    <t>Earnings Before Tax</t>
  </si>
  <si>
    <t>NOL Deduction Applied</t>
  </si>
  <si>
    <t>Taxable Income</t>
  </si>
  <si>
    <t>Income Tax</t>
  </si>
  <si>
    <t>Net Income</t>
  </si>
  <si>
    <t>Net Margin %</t>
  </si>
  <si>
    <t>R&amp;D Personnel Costs</t>
  </si>
  <si>
    <t>Partnership Development</t>
  </si>
  <si>
    <t>TOTAL OPERATING EXPENSES</t>
  </si>
  <si>
    <t>Total</t>
  </si>
  <si>
    <t>-</t>
  </si>
  <si>
    <t>Financial Analyst</t>
  </si>
  <si>
    <t>Salary</t>
  </si>
  <si>
    <t>Justification</t>
  </si>
  <si>
    <t>Category</t>
  </si>
  <si>
    <t>Assumption</t>
  </si>
  <si>
    <t>Value</t>
  </si>
  <si>
    <t>Source/Justification</t>
  </si>
  <si>
    <t>Pricing</t>
  </si>
  <si>
    <t>&lt;$300K ARR</t>
  </si>
  <si>
    <t>Notes</t>
  </si>
  <si>
    <t>N/A</t>
  </si>
  <si>
    <t>Tier</t>
  </si>
  <si>
    <t>Parameter</t>
  </si>
  <si>
    <t>Component</t>
  </si>
  <si>
    <t>Formula/Notes</t>
  </si>
  <si>
    <t>Total tokens in (thousands)</t>
  </si>
  <si>
    <t>Total tokens out (thousands)</t>
  </si>
  <si>
    <t>Total Infrastructure Costs</t>
  </si>
  <si>
    <t>Metric</t>
  </si>
  <si>
    <t>All amounts in USD</t>
  </si>
  <si>
    <t>Beginning Balance</t>
  </si>
  <si>
    <t>Add: Net Income</t>
  </si>
  <si>
    <t>Less: Dividends Paid</t>
  </si>
  <si>
    <t>Ending Balance</t>
  </si>
  <si>
    <t>RECONCILIATION</t>
  </si>
  <si>
    <t>Difference (should be 0)</t>
  </si>
  <si>
    <t>Tax Rate</t>
  </si>
  <si>
    <t>Receivables Days</t>
  </si>
  <si>
    <t>Payables Days</t>
  </si>
  <si>
    <t>Deferred Revenue Months</t>
  </si>
  <si>
    <t>Interest Rate on Debt</t>
  </si>
  <si>
    <t>Discount Rate (WACC)</t>
  </si>
  <si>
    <t>Accounts Receivable Days</t>
  </si>
  <si>
    <t>Accounts Payable Days</t>
  </si>
  <si>
    <t>CapEx % of Revenue</t>
  </si>
  <si>
    <t>Days in Year</t>
  </si>
  <si>
    <t>Prepaid % of OpEx</t>
  </si>
  <si>
    <t>Accrued % of OpEx</t>
  </si>
  <si>
    <t>ASSETS</t>
  </si>
  <si>
    <t>Current Assets</t>
  </si>
  <si>
    <t>Cash &amp; Cash Equivalents</t>
  </si>
  <si>
    <t>Accounts Receivable</t>
  </si>
  <si>
    <t>Prepaid Expenses</t>
  </si>
  <si>
    <t>Intangible Amortization Years</t>
  </si>
  <si>
    <t>Total Current Assets</t>
  </si>
  <si>
    <t>Non-Current Assets</t>
  </si>
  <si>
    <t>Accumulated Depreciation</t>
  </si>
  <si>
    <t>Net PP&amp;E</t>
  </si>
  <si>
    <t>Total Non-Current Assets</t>
  </si>
  <si>
    <t>TOTAL ASSETS</t>
  </si>
  <si>
    <t>LIABILITIES</t>
  </si>
  <si>
    <t>Current Liabilities</t>
  </si>
  <si>
    <t>Accounts Payable</t>
  </si>
  <si>
    <t>Accrued Expenses</t>
  </si>
  <si>
    <t>Deferred Revenue</t>
  </si>
  <si>
    <t>Total Current Liabilities</t>
  </si>
  <si>
    <t>Long-term Debt</t>
  </si>
  <si>
    <t>Total Long-term Liabilities</t>
  </si>
  <si>
    <t>TOTAL LIABILITIES</t>
  </si>
  <si>
    <t>SHAREHOLDERS' EQUITY</t>
  </si>
  <si>
    <t>Retained Earnings</t>
  </si>
  <si>
    <t>Balance Check (Assets - L&amp;E)</t>
  </si>
  <si>
    <t>DETAILED ASSUMPTIONS &amp; METHODOLOGY</t>
  </si>
  <si>
    <t>- Only solution delivering affordability + expertise + trust simultaneously</t>
  </si>
  <si>
    <t>OPERATING ACTIVITIES</t>
  </si>
  <si>
    <t>INVESTING ACTIVITIES</t>
  </si>
  <si>
    <t>Capital Expenditures (CapEx)</t>
  </si>
  <si>
    <t>FINANCING ACTIVITIES</t>
  </si>
  <si>
    <t>Last Updated: November 2025</t>
  </si>
  <si>
    <t>Next Review: Update quarterly or when material changes occur</t>
  </si>
  <si>
    <t>Owner: CFO / Finance Team</t>
  </si>
  <si>
    <t>Update Triggers:</t>
  </si>
  <si>
    <t>LTV:CAC Ratio</t>
  </si>
  <si>
    <t>I. REVENUE ANALYSIS</t>
  </si>
  <si>
    <t>II. COST STRUCTURE ANALYSIS</t>
  </si>
  <si>
    <t>III. BREAK-EVEN CALCULATIONS</t>
  </si>
  <si>
    <t>Break-Even Revenue</t>
  </si>
  <si>
    <t>Actual Revenue</t>
  </si>
  <si>
    <t>IV. MARGIN OF SAFETY</t>
  </si>
  <si>
    <t>Gross Margin %</t>
  </si>
  <si>
    <t>EBITDA Margin %</t>
  </si>
  <si>
    <t>VI. OPERATING LEVERAGE</t>
  </si>
  <si>
    <t>Contribution Margin (Revenue - Variable Costs)</t>
  </si>
  <si>
    <t>Contribution Margin Ratio</t>
  </si>
  <si>
    <t>Degree of Operating Leverage (DOL)</t>
  </si>
  <si>
    <t>VII. CASH BREAK-EVEN ANALYSIS</t>
  </si>
  <si>
    <t>Operating Cash Flow</t>
  </si>
  <si>
    <t>Add Back: Non-Cash D&amp;A</t>
  </si>
  <si>
    <t>Cash Operating Expenses (Fixed Costs - D&amp;A)</t>
  </si>
  <si>
    <t>Cash Break-Even Customers</t>
  </si>
  <si>
    <t>Cash Break-Even Revenue</t>
  </si>
  <si>
    <t>Cushion vs Accounting Break-Even (Customers)</t>
  </si>
  <si>
    <t>VIII. TIMING TO BREAK-EVEN</t>
  </si>
  <si>
    <t>Cumulative Net Income</t>
  </si>
  <si>
    <t>Cumulative Operating Cash Flow</t>
  </si>
  <si>
    <t>Break-Even Status (Accounting)</t>
  </si>
  <si>
    <t>Break-Even Status (Cash Flow)</t>
  </si>
  <si>
    <t>Cumulative Break-Even Status</t>
  </si>
  <si>
    <t>IX. SENSITIVITY ANALYSIS</t>
  </si>
  <si>
    <t>Break-Even Impact of Cost Changes</t>
  </si>
  <si>
    <t>If Fixed Costs Increase 10%</t>
  </si>
  <si>
    <t>Increase in Break-Even Customers</t>
  </si>
  <si>
    <t>If Variable Costs Decrease 10%</t>
  </si>
  <si>
    <t>Decrease in Break-Even Customers</t>
  </si>
  <si>
    <t>Break-Even Impact of Pricing Changes</t>
  </si>
  <si>
    <t>If ARPU Increases 10%</t>
  </si>
  <si>
    <t>If ARPU Decreases 10%</t>
  </si>
  <si>
    <t>X. KEY BREAK-EVEN INSIGHTS</t>
  </si>
  <si>
    <t>Summary Table: Years to Break-Even</t>
  </si>
  <si>
    <t>Accounting Break-Even</t>
  </si>
  <si>
    <t>Cash Break-Even</t>
  </si>
  <si>
    <t>Cumulative Profitability</t>
  </si>
  <si>
    <t>Strategic Milestones</t>
  </si>
  <si>
    <t>Customers to Break-Even</t>
  </si>
  <si>
    <t>Revenue to Break-Even</t>
  </si>
  <si>
    <t>Actual Customers (End of Year)</t>
  </si>
  <si>
    <t>Gap to Break-Even (Customers)</t>
  </si>
  <si>
    <t>I. BREAK-EVEN ANALYSIS FUNDAMENTALS</t>
  </si>
  <si>
    <t>1. Break-Even Concept for SaaS Business</t>
  </si>
  <si>
    <t>Traditional Break-Even Formula:</t>
  </si>
  <si>
    <t>Break-Even Point = Fixed Costs ÷ Contribution Margin per Unit</t>
  </si>
  <si>
    <t>Where: Contribution Margin = Price - Variable Cost per Unit</t>
  </si>
  <si>
    <t>- Price = Average Revenue Per User (ARPU) blended across all tiers</t>
  </si>
  <si>
    <t>- Variable Costs = Cost of Revenue per customer (API costs, infrastructure, support)</t>
  </si>
  <si>
    <t>- Fixed Costs = Operating Expenses (R&amp;D, S&amp;M, G&amp;A) that don't scale with customers</t>
  </si>
  <si>
    <t>- Contribution Margin = ARPU - Variable Cost per Customer</t>
  </si>
  <si>
    <t>Critical Business Decisions:</t>
  </si>
  <si>
    <t>- Funding requirements: How much capital needed to reach sustainability?</t>
  </si>
  <si>
    <t>- Runway planning: When does company become self-sufficient?</t>
  </si>
  <si>
    <t>- Pricing strategy: What ARPU changes accelerate break-even?</t>
  </si>
  <si>
    <t>- Cost management: Which fixed costs have highest impact on break-even point?</t>
  </si>
  <si>
    <t>- Growth targets: How many customers needed for profitability?</t>
  </si>
  <si>
    <t>Current Status (Year 1):</t>
  </si>
  <si>
    <t>- Actual customers: 1,279 vs. Break-even need: 11,048</t>
  </si>
  <si>
    <t>- Gap: 9,769 additional customers needed (8.6x current base)</t>
  </si>
  <si>
    <t>- Path: Cash flow positive Year 2, Accounting profitable Year 5</t>
  </si>
  <si>
    <t>3. Variable Costs (Cost of Revenue)</t>
  </si>
  <si>
    <t>Source: Links to Income Statement Row 15 and Cost of Revenue sheet</t>
  </si>
  <si>
    <t>Components:</t>
  </si>
  <si>
    <t>- Infrastructure: AWS compute (spot instances, 70% cost reduction achieved)</t>
  </si>
  <si>
    <t>- Customer support: Minimal in SaaS model, scales sub-linearly</t>
  </si>
  <si>
    <t>Variable Cost per Customer Trajectory:</t>
  </si>
  <si>
    <t>- Year 1: $115/customer (36% of revenue, early inefficiencies)</t>
  </si>
  <si>
    <t>- Year 3: $104/customer (25% of revenue, optimization gains)</t>
  </si>
  <si>
    <t>- Year 5: $97/customer (16% of revenue, scale efficiencies)</t>
  </si>
  <si>
    <t>- Trend: Decreasing absolute cost through infrastructure optimization</t>
  </si>
  <si>
    <t>Key Driver - Gross Margin Improvement:</t>
  </si>
  <si>
    <t>- Year 1: 36% (typical early-stage SaaS with setup costs)</t>
  </si>
  <si>
    <t>- Year 3: 75% (approaching mature SaaS levels)</t>
  </si>
  <si>
    <t>- Year 5: 84% (world-class SaaS gross margin)</t>
  </si>
  <si>
    <t>- Target: 83.5% aligns with top-tier SaaS companies</t>
  </si>
  <si>
    <t>4. Fixed Costs (Operating Expenses)</t>
  </si>
  <si>
    <t>Source: Links to Income Statement Row 22</t>
  </si>
  <si>
    <t>Breakdown by Function:</t>
  </si>
  <si>
    <t>Sales &amp; Marketing (32% of $2M seed use of funds):</t>
  </si>
  <si>
    <t>- Customer acquisition campaigns (university partnerships, organic channels)</t>
  </si>
  <si>
    <t>- Content marketing and community building (Anchor Acres Q&amp;A sessions)</t>
  </si>
  <si>
    <t>- Partnership development (AgLaunch365, cooperatives)</t>
  </si>
  <si>
    <t>- Target CAC: $120/customer, improving 5-10% annually</t>
  </si>
  <si>
    <t>Research &amp; Development (40% of $2M seed use of funds):</t>
  </si>
  <si>
    <t>- AI/ML infrastructure: Scaling two-stage LLM pipeline</t>
  </si>
  <si>
    <t>- Team: 3 founders + 3 employees (1 AI/ML specialist, 2 full-stack engineers)</t>
  </si>
  <si>
    <t>General &amp; Administrative (28% of $2M seed use of funds):</t>
  </si>
  <si>
    <t>- Legal and compliance (advisory, not prescriptive recommendations)</t>
  </si>
  <si>
    <t>- Operations infrastructure (finance, HR, corporate partnerships)</t>
  </si>
  <si>
    <t>- Professional services and insurance</t>
  </si>
  <si>
    <t>5. Contribution Margin Analysis</t>
  </si>
  <si>
    <t>Formula: Revenue - Variable Costs = Contribution Margin</t>
  </si>
  <si>
    <t>Contribution Margin per Customer = ARPU - Variable Cost per Customer</t>
  </si>
  <si>
    <t>Year-over-Year Improvement:</t>
  </si>
  <si>
    <t>- Year 1: $64.79/customer (36% contribution margin ratio)</t>
  </si>
  <si>
    <t>- Year 3: $307.13/customer (75% ratio) - 4.7x improvement</t>
  </si>
  <si>
    <t>- Year 5: $499.15/customer (84% ratio) - 7.7x improvement from Year 1</t>
  </si>
  <si>
    <t>- Driver: ARPU grows from $180 to $596 while variable costs stay ~$100</t>
  </si>
  <si>
    <t>Strategic Implications:</t>
  </si>
  <si>
    <t>- High contribution margin = strong unit economics and scalability</t>
  </si>
  <si>
    <t>- Every new customer contributes $499 (Year 5) to cover fixed costs</t>
  </si>
  <si>
    <t>- Once break-even is reached, incremental customers are highly profitable</t>
  </si>
  <si>
    <t>- SaaS model strength: Fixed costs don't scale linearly with customers</t>
  </si>
  <si>
    <t>6. Accounting Break-Even vs Cash Break-Even</t>
  </si>
  <si>
    <t>Accounting Break-Even:</t>
  </si>
  <si>
    <t>- Includes non-cash expenses (depreciation &amp; amortization)</t>
  </si>
  <si>
    <t>- Customers needed: 11K (Y1) → 234K (Y5)</t>
  </si>
  <si>
    <t>- Status: Achieved in Year 5 with 263K actual customers</t>
  </si>
  <si>
    <t>- Why it increases: Fixed costs grow faster than contribution margin in growth phase</t>
  </si>
  <si>
    <t>Cash Break-Even:</t>
  </si>
  <si>
    <t>- Result: Same as accounting break-even (asset-light model)</t>
  </si>
  <si>
    <t>- Critical difference: Cash break-even achieved Year 2 vs accounting Year 5</t>
  </si>
  <si>
    <t>- Reason: Deferred revenue (prepaid subscriptions) provides working capital boost</t>
  </si>
  <si>
    <t>7. Why Break-Even Customers Increase Over Time</t>
  </si>
  <si>
    <t>Counter-Intuitive Pattern Analysis:</t>
  </si>
  <si>
    <t>- Year 1: 11K customers needed (at $180 ARPU, $65 contribution margin)</t>
  </si>
  <si>
    <t>- Year 5: 234K customers needed (at $596 ARPU, $499 contribution margin)</t>
  </si>
  <si>
    <t>- Why? Fixed costs grow 163x ($716K → $116.8M) while CM grows 7.7x</t>
  </si>
  <si>
    <t>Strategic Growth Phase Dynamics:</t>
  </si>
  <si>
    <t>- Years 1-3: Heavy R&amp;D and S&amp;M investment to scale product and acquire customers</t>
  </si>
  <si>
    <t>- Operating expenses grow from $716K to $116.8M (163x) to build market position</t>
  </si>
  <si>
    <t>- This is intentional: investing ahead of revenue to capture market opportunity</t>
  </si>
  <si>
    <t>- Result: Break-even point moves higher but margin of safety improves</t>
  </si>
  <si>
    <t>8. Margin of Safety Analysis</t>
  </si>
  <si>
    <t>Definition: How far actual performance exceeds break-even point</t>
  </si>
  <si>
    <t>Formula: (Actual Revenue - Break-Even Revenue) / Actual Revenue</t>
  </si>
  <si>
    <t>- Years 1-4: Negative margin (company below break-even, expected for growth SaaS)</t>
  </si>
  <si>
    <t>- Year 5: 11% positive margin (28,877 customers above break-even)</t>
  </si>
  <si>
    <t>- Interpretation: Year 5 revenue could drop 11% before hitting break-even</t>
  </si>
  <si>
    <t>- Target: Build to 20-30% margin of safety by Year 7-8</t>
  </si>
  <si>
    <t>IV. OPERATING LEVERAGE</t>
  </si>
  <si>
    <t>9. Degree of Operating Leverage (DOL)</t>
  </si>
  <si>
    <t>Formula: Contribution Margin ÷ EBITDA</t>
  </si>
  <si>
    <t>Interpretation: % change in EBITDA for 1% change in revenue</t>
  </si>
  <si>
    <t>- Years 1-4: Negative DOL (company operating at loss, metric not meaningful)</t>
  </si>
  <si>
    <t>- Year 5: 9.11x DOL (1% revenue increase → 9.11% EBITDA increase)</t>
  </si>
  <si>
    <t>- Implication: High operating leverage once profitable (typical SaaS advantage)</t>
  </si>
  <si>
    <t>- Future: DOL will decrease as company matures (approaching 2-3x at scale)</t>
  </si>
  <si>
    <t>Why High DOL Matters:</t>
  </si>
  <si>
    <t>- Revenue growth flows disproportionately to profit once past break-even</t>
  </si>
  <si>
    <t>- Fixed cost base doesn't scale linearly → incremental margins expand</t>
  </si>
  <si>
    <t>- Year 6-7 projection: Strong profit growth even with slower revenue growth</t>
  </si>
  <si>
    <t>- Strategic: Reinforces importance of reaching break-even to unlock leverage</t>
  </si>
  <si>
    <t>V. TIMING TO BREAK-EVEN</t>
  </si>
  <si>
    <t>10. Multiple Break-Even Definitions</t>
  </si>
  <si>
    <t>Three Different Milestones:</t>
  </si>
  <si>
    <t>Cash Flow Break-Even (Year 2):</t>
  </si>
  <si>
    <t>- Operating cash flow turns positive: $166K</t>
  </si>
  <si>
    <t>- Driven by: Deferred revenue ($931K increase) offsets losses</t>
  </si>
  <si>
    <t>- Significance: Company can operate without new funding (in theory)</t>
  </si>
  <si>
    <t>- Reality: Continue raising to accelerate growth, not just survive</t>
  </si>
  <si>
    <t>Accounting Break-Even (Year 5):</t>
  </si>
  <si>
    <t>- Net income turns positive: $12.6M profit</t>
  </si>
  <si>
    <t>- Revenue exceeds all costs (including non-cash items)</t>
  </si>
  <si>
    <t>- Validates: Unit economics and business model sustainability</t>
  </si>
  <si>
    <t>Cumulative Break-Even (Year 5):</t>
  </si>
  <si>
    <t>- Cumulative net income turns positive: $6.7M cumulative profit</t>
  </si>
  <si>
    <t>- All prior losses recovered and company in the black</t>
  </si>
  <si>
    <t>- Investor milestone: Original investment generating positive returns</t>
  </si>
  <si>
    <t>11. Path to Break-Even Strategy</t>
  </si>
  <si>
    <t>Year 1 Focus (Current):</t>
  </si>
  <si>
    <t>- Close $2M pre-seed/seed round to extend runway to 18+ months</t>
  </si>
  <si>
    <t>- Maintain $40K/month burn discipline (50% below typical SaaS)</t>
  </si>
  <si>
    <t>- Build initial deferred revenue base through annual contracts</t>
  </si>
  <si>
    <t>Year 2-3 Focus:</t>
  </si>
  <si>
    <t>- Achieve and maintain positive operating cash flow</t>
  </si>
  <si>
    <t>- Scale customer acquisition while preserving unit economics (6:1 LTV:CAC)</t>
  </si>
  <si>
    <t>- Reach $5-10M ARR to qualify for Series A funding</t>
  </si>
  <si>
    <t>- Improve gross margin toward 75-80% range</t>
  </si>
  <si>
    <t>Year 4-5 Focus:</t>
  </si>
  <si>
    <t>- Cross accounting break-even threshold with $100M+ revenue run rate</t>
  </si>
  <si>
    <t>- Achieve sustained profitability and positive EBITDA margins</t>
  </si>
  <si>
    <t>- Maintain 83.5%+ gross margins (world-class SaaS level)</t>
  </si>
  <si>
    <t>- Position for strategic exit or IPO at $150-200M ARR</t>
  </si>
  <si>
    <t>VI. SENSITIVITY ANALYSIS INSIGHTS</t>
  </si>
  <si>
    <t>12. Cost Sensitivity</t>
  </si>
  <si>
    <t>Fixed Cost Impact (10% increase):</t>
  </si>
  <si>
    <t>- Increases break-even customers by 1,105 (Year 1) to 23,408 (Year 5)</t>
  </si>
  <si>
    <t>- Implies: Fixed cost control critical, especially in early years</t>
  </si>
  <si>
    <t>- Mitigation: Lean operations, $38K burn vs $100K+ typical for SaaS</t>
  </si>
  <si>
    <t>Variable Cost Impact (10% decrease):</t>
  </si>
  <si>
    <t>- Decreases break-even customers by 1,206 (Year 1) to 25,530 (Year 5)</t>
  </si>
  <si>
    <t>- Achieved through: AWS spot instances (70% cost reduction), infrastructure optimization</t>
  </si>
  <si>
    <t>- Ongoing: 4x speed improvement, GCP credit extension (20 days → 15 months)</t>
  </si>
  <si>
    <t>13. Pricing Sensitivity</t>
  </si>
  <si>
    <t>ARPU Increase (10% higher pricing):</t>
  </si>
  <si>
    <t>- Decreases break-even customers by 1,239 (Year 1) to 26,860 (Year 5)</t>
  </si>
  <si>
    <t>- Most powerful lever: Direct impact on contribution margin</t>
  </si>
  <si>
    <t>- Current ARPU growth: $180 (Y1) → $596 (Y5) through tier mix improvement</t>
  </si>
  <si>
    <t>ARPU Decrease (10% lower pricing):</t>
  </si>
  <si>
    <t>- Increases break-even customers by 1,385 (Y1) to 30,117 (Y5)</t>
  </si>
  <si>
    <t>- Risk: Market pressure or competitor pricing wars</t>
  </si>
  <si>
    <t>- Protection: 10x+ pricing advantage already vs legacy solutions ($30-150 vs $1,000-5,000)</t>
  </si>
  <si>
    <t>VII. STRATEGIC INSIGHTS</t>
  </si>
  <si>
    <t>14. Competitive Advantages Supporting Break-Even Path</t>
  </si>
  <si>
    <t>Market Position:</t>
  </si>
  <si>
    <t>- $24B TAM growing to $74B by 2034 (11.7% CAGR)</t>
  </si>
  <si>
    <t>Unit Economics:</t>
  </si>
  <si>
    <t>- 6:1 LTV:CAC ratio (excellent for SaaS, typical target 3:1)</t>
  </si>
  <si>
    <t>- 83.5% gross margin target (upper quartile, typical SaaS 70-85%)</t>
  </si>
  <si>
    <t>- CAC $120 and improving 5-10% annually (network effects + organic growth)</t>
  </si>
  <si>
    <t>Technology Moats:</t>
  </si>
  <si>
    <t>- 97% AI accuracy vs 92% for Perplexity AI Sonar Pro</t>
  </si>
  <si>
    <t>- Proprietary semantic deduplication enabling 1M+ token handling</t>
  </si>
  <si>
    <t>15. Risk Factors &amp; Mitigation</t>
  </si>
  <si>
    <t>Risk: Slower customer acquisition than projected</t>
  </si>
  <si>
    <t>Risk: Higher variable costs (API pricing increases)</t>
  </si>
  <si>
    <t>Mitigation: Multi-provider strategy (Groq, Together AI, Fireworks AI), cost optimization achieved</t>
  </si>
  <si>
    <t>Risk: Fixed costs overruns in growth phase</t>
  </si>
  <si>
    <t>Mitigation: Burn rate discipline ($38K/mo), capital-efficient scaling</t>
  </si>
  <si>
    <t>Risk: Pricing pressure from well-funded competitors</t>
  </si>
  <si>
    <t>VIII. DOCUMENT MAINTENANCE</t>
  </si>
  <si>
    <t>Key Changes: Comprehensive break-even analysis with sensitivity and strategic insights</t>
  </si>
  <si>
    <t>• Significant changes to pricing strategy or ARPU assumptions</t>
  </si>
  <si>
    <t>• Material shifts in cost structure or gross margin trajectory</t>
  </si>
  <si>
    <t>• Customer acquisition pace differs from projections by &gt;15%</t>
  </si>
  <si>
    <t>• New funding rounds that change growth investment strategy</t>
  </si>
  <si>
    <t>• Quarterly actuals vs. break-even projections variance analysis</t>
  </si>
  <si>
    <t>I. FUNDING ASSUMPTIONS</t>
  </si>
  <si>
    <t>Seed</t>
  </si>
  <si>
    <t>Series A</t>
  </si>
  <si>
    <t>Series B</t>
  </si>
  <si>
    <t>ARR at Funding</t>
  </si>
  <si>
    <t>II. VALUATION CALCULATIONS</t>
  </si>
  <si>
    <t>Pre-Money Valuation</t>
  </si>
  <si>
    <t>Post-Money Valuation</t>
  </si>
  <si>
    <t>III. CAPITALIZATION TABLE</t>
  </si>
  <si>
    <t>Shareholder Group</t>
  </si>
  <si>
    <t>Pre-Seed Investors</t>
  </si>
  <si>
    <t>Seed Investors</t>
  </si>
  <si>
    <t>Series A Investors</t>
  </si>
  <si>
    <t>Monthly Burn Rate</t>
  </si>
  <si>
    <t>Equity Raised</t>
  </si>
  <si>
    <t>REVENUE METRICS</t>
  </si>
  <si>
    <t>Revenue Growth %</t>
  </si>
  <si>
    <t>CAC Payback (Months)</t>
  </si>
  <si>
    <t>Cash</t>
  </si>
  <si>
    <t>Revenue Multiple</t>
  </si>
  <si>
    <t>PARAMETER ASSUMPTIONS</t>
  </si>
  <si>
    <t>SCENARIO RESULTS BY YEAR</t>
  </si>
  <si>
    <t>Y1 (2026)</t>
  </si>
  <si>
    <t>Y2 (2027)</t>
  </si>
  <si>
    <t>Y3 (2028)</t>
  </si>
  <si>
    <t>Y4 (2029)</t>
  </si>
  <si>
    <t>Y5 (2030)</t>
  </si>
  <si>
    <t>Explorer (Free)</t>
  </si>
  <si>
    <t>Growth</t>
  </si>
  <si>
    <t>SAM</t>
  </si>
  <si>
    <t>CTO</t>
  </si>
  <si>
    <t>CCO (Compliance)</t>
  </si>
  <si>
    <t>Full-Stack Engineer</t>
  </si>
  <si>
    <t>Head of AI/ML</t>
  </si>
  <si>
    <t>ML Engineer</t>
  </si>
  <si>
    <t>VP of Sales &amp; Marketing</t>
  </si>
  <si>
    <t>Customer Success Lead</t>
  </si>
  <si>
    <t>- Multi-agent LLM pipeline trained on election strategy and political data</t>
  </si>
  <si>
    <t>ElectionAI SaaS Adaptation:</t>
  </si>
  <si>
    <t>2. Why Break-Even Matters for ElectionAI</t>
  </si>
  <si>
    <t>- Excludes non-cash expenses (D&amp;A is $0 for ElectionAI currently)</t>
  </si>
  <si>
    <t>ElectionAI Trajectory:</t>
  </si>
  <si>
    <t>ElectionAI DOL Analysis:</t>
  </si>
  <si>
    <t>- Monthly burn: ~$50K (efficient for election tech SaaS)</t>
  </si>
  <si>
    <t>- LLM costs: Multi-agent pipeline (War Room Router + Campaign Strategy LLM)</t>
  </si>
  <si>
    <t>- Deploy product to pilot campaigns, validate payment collection</t>
  </si>
  <si>
    <t>Mitigation: Freemium pipeline, political partnerships, 20+ pilot campaigns</t>
  </si>
  <si>
    <t>Mitigation: Pricing advantage, network effects moat, compliance-ready AI</t>
  </si>
  <si>
    <t>- Unit = Customer subscription (CP $50/mo+seats, KM $100/mo+seats, Presidential custom)</t>
  </si>
  <si>
    <t>- Implementation: Tier mix optimization (more KM/Presidential vs CP)</t>
  </si>
  <si>
    <t>- Product development: KM tier platform, mobile campaign app</t>
  </si>
  <si>
    <t>2026 Results</t>
  </si>
  <si>
    <t>2027 Results</t>
  </si>
  <si>
    <t>2028 Results</t>
  </si>
  <si>
    <t>2029 Results</t>
  </si>
  <si>
    <t>2030 Results</t>
  </si>
  <si>
    <t>HypeStake - Financial Model Assumptions</t>
  </si>
  <si>
    <t>Central Control Panel — All sheets reference this one</t>
  </si>
  <si>
    <t>Input Cell</t>
  </si>
  <si>
    <t>SECTION 1: GENERAL SETTINGS</t>
  </si>
  <si>
    <t>Calculated Cell</t>
  </si>
  <si>
    <t>Company Name</t>
  </si>
  <si>
    <t>HypeStake</t>
  </si>
  <si>
    <t>Business Type</t>
  </si>
  <si>
    <t>Model Start Year</t>
  </si>
  <si>
    <t>Forecast Period</t>
  </si>
  <si>
    <t>5 years</t>
  </si>
  <si>
    <t>Currency</t>
  </si>
  <si>
    <t>USD</t>
  </si>
  <si>
    <t>NOL Limitation %</t>
  </si>
  <si>
    <t>SECTION 2: REVENUE STREAMS &amp; PRICING</t>
  </si>
  <si>
    <t>A) TRANSACTION FEES</t>
  </si>
  <si>
    <t>Deal Type</t>
  </si>
  <si>
    <t>Avg Deal Size ($)</t>
  </si>
  <si>
    <t>Platform Take-Rate %</t>
  </si>
  <si>
    <t>Pure Equity Deals</t>
  </si>
  <si>
    <t>No cash flows through platform (equity only)</t>
  </si>
  <si>
    <t>Revenue Share Deals</t>
  </si>
  <si>
    <t>% of quarterly cash payouts processed</t>
  </si>
  <si>
    <t>Cash Deals</t>
  </si>
  <si>
    <t>Flat fee deal brokering</t>
  </si>
  <si>
    <t>Hybrid Deals (Cash + Equity)</t>
  </si>
  <si>
    <t>Blended rate on cash portion</t>
  </si>
  <si>
    <t>Rev Share Tracking Fee</t>
  </si>
  <si>
    <t>Ongoing commission tracking</t>
  </si>
  <si>
    <t>Blended Avg Take-Rate</t>
  </si>
  <si>
    <t>Avg across cash-generating deal types</t>
  </si>
  <si>
    <t>B) BRAND SUBSCRIPTION FEES</t>
  </si>
  <si>
    <t>Monthly Price</t>
  </si>
  <si>
    <t>Features</t>
  </si>
  <si>
    <t>Year 1 Policy</t>
  </si>
  <si>
    <t>Avg Months Active/Yr</t>
  </si>
  <si>
    <t>Basic brand profile, 3 creator searches/mo</t>
  </si>
  <si>
    <t>Free always</t>
  </si>
  <si>
    <t>Starter</t>
  </si>
  <si>
    <t>Unlimited searches, 5 offers/mo, basic analytics</t>
  </si>
  <si>
    <t>WAIVED Year 1</t>
  </si>
  <si>
    <t>Professional</t>
  </si>
  <si>
    <t>Unlimited offers, AI Brand Tools, campaign builder</t>
  </si>
  <si>
    <t>Enterprise</t>
  </si>
  <si>
    <t>Dedicated support, custom compliance, API access, white-label</t>
  </si>
  <si>
    <t>Subscription Revenue Activation Year</t>
  </si>
  <si>
    <t>(Year 2 = 2027)</t>
  </si>
  <si>
    <t>Year 1 Waiver Flag</t>
  </si>
  <si>
    <t>C) PREMIUM ADD-ONS</t>
  </si>
  <si>
    <t>Add-On Module</t>
  </si>
  <si>
    <t>Description</t>
  </si>
  <si>
    <t>Attach Rate</t>
  </si>
  <si>
    <t>Compliance Module</t>
  </si>
  <si>
    <t>Automated SEC, IRS, FTC compliance</t>
  </si>
  <si>
    <t>Advanced Analytics Pack</t>
  </si>
  <si>
    <t>Creator Genome deep insights</t>
  </si>
  <si>
    <t>Early Liquidity Module</t>
  </si>
  <si>
    <t>Secondary market access for creator equity</t>
  </si>
  <si>
    <t>Avg Add-On Attach Rate</t>
  </si>
  <si>
    <t>% of paying brands</t>
  </si>
  <si>
    <t>SECTION 3: USER ACQUISITION — TWO-SIDED</t>
  </si>
  <si>
    <t>Creator Acquisition</t>
  </si>
  <si>
    <t>CAC per Creator</t>
  </si>
  <si>
    <t>Creators Acquired per Year</t>
  </si>
  <si>
    <t>% Completing at Least 1 Deal</t>
  </si>
  <si>
    <t>Creators are FREE (no subscription)</t>
  </si>
  <si>
    <t>Brand Acquisition</t>
  </si>
  <si>
    <t>CAC by Tier</t>
  </si>
  <si>
    <t>CAC ($)</t>
  </si>
  <si>
    <t xml:space="preserve">  Starter</t>
  </si>
  <si>
    <t xml:space="preserve">  Professional</t>
  </si>
  <si>
    <t xml:space="preserve">  Enterprise</t>
  </si>
  <si>
    <t>Brands Acquired/Year</t>
  </si>
  <si>
    <t>SECTION 4: CHURN RATES</t>
  </si>
  <si>
    <t>Monthly Churn</t>
  </si>
  <si>
    <t>Annual Churn</t>
  </si>
  <si>
    <t>Avg Lifespan (Yrs)</t>
  </si>
  <si>
    <t>Creator Monthly Churn</t>
  </si>
  <si>
    <t>Brand - Starter</t>
  </si>
  <si>
    <t>(high SMB churn)</t>
  </si>
  <si>
    <t>Brand - Professional</t>
  </si>
  <si>
    <t>Brand - Enterprise</t>
  </si>
  <si>
    <t>SECTION 5: DEAL VOLUME PROJECTIONS</t>
  </si>
  <si>
    <t>Deals Brokered/Year</t>
  </si>
  <si>
    <t>Pure Equity</t>
  </si>
  <si>
    <t>Revenue Share</t>
  </si>
  <si>
    <t>Hybrid</t>
  </si>
  <si>
    <t>Total Deals</t>
  </si>
  <si>
    <t>Rev Share Payouts/Deal/Year (quarters)</t>
  </si>
  <si>
    <t>quarters of payouts per active deal</t>
  </si>
  <si>
    <t>SECTION 6: EXPANSION REVENUE</t>
  </si>
  <si>
    <t>ARR Range</t>
  </si>
  <si>
    <t>Net Expansion %</t>
  </si>
  <si>
    <t>$300K–$1M ARR</t>
  </si>
  <si>
    <t>$1M–$3M ARR</t>
  </si>
  <si>
    <t>$3M–$8M ARR</t>
  </si>
  <si>
    <t>$8M–$15M ARR</t>
  </si>
  <si>
    <t>$15M+ ARR</t>
  </si>
  <si>
    <t>SECTION 7: BALANCE SHEET ASSUMPTIONS</t>
  </si>
  <si>
    <t>Shorter than typical SaaS — transaction fees near-instant</t>
  </si>
  <si>
    <t>SECTION 8: FUNDING ROUNDS</t>
  </si>
  <si>
    <t>Round Name</t>
  </si>
  <si>
    <t>Amount ($)</t>
  </si>
  <si>
    <t>Month</t>
  </si>
  <si>
    <t>Active (1/0)</t>
  </si>
  <si>
    <t>Placeholder</t>
  </si>
  <si>
    <t>SECTION 9: WORKING CAPITAL</t>
  </si>
  <si>
    <t>HypeStake - Revenue Model Assumptions</t>
  </si>
  <si>
    <t>TABLE 1: TRANSACTION FEE REVENUE DRIVERS</t>
  </si>
  <si>
    <t>Deal Size</t>
  </si>
  <si>
    <t>Pure Equity Avg Cash</t>
  </si>
  <si>
    <t>No cash flows through platform</t>
  </si>
  <si>
    <t>Revenue Share Avg Quarterly Payout</t>
  </si>
  <si>
    <t>Per-quarter cash payout processed</t>
  </si>
  <si>
    <t>Cash Deal Avg Size</t>
  </si>
  <si>
    <t>One-time deal brokering</t>
  </si>
  <si>
    <t>Hybrid Deal Avg Cash Component</t>
  </si>
  <si>
    <t>Cash portion of hybrid deals</t>
  </si>
  <si>
    <t>Rev Share Tracking Fee Base</t>
  </si>
  <si>
    <t>Quarterly attributed sales base</t>
  </si>
  <si>
    <t>Take-Rate</t>
  </si>
  <si>
    <t>Pure Equity Take-Rate</t>
  </si>
  <si>
    <t>No cash = no take</t>
  </si>
  <si>
    <t>Revenue Share Take-Rate</t>
  </si>
  <si>
    <t>% of cash payouts processed</t>
  </si>
  <si>
    <t>Cash Deal Take-Rate</t>
  </si>
  <si>
    <t>Hybrid Deal Take-Rate</t>
  </si>
  <si>
    <t>Rev Share Tracking Take-Rate</t>
  </si>
  <si>
    <t>Marketplace benchmarks: Upwork 10-20%, Fiverr 20%, Carta 0.5-1% of AUM. HypeStake 8-10% competitive for high-value deal brokering.</t>
  </si>
  <si>
    <t>Payout Freq</t>
  </si>
  <si>
    <t>Rev Share Ongoing Payouts/Year</t>
  </si>
  <si>
    <t>Quarterly payouts per active deal</t>
  </si>
  <si>
    <t>TABLE 2: BRAND SUBSCRIPTION REVENUE DRIVERS</t>
  </si>
  <si>
    <t>Starter Monthly Price</t>
  </si>
  <si>
    <t>Grin $999+/mo, AspireIQ $500+/mo. HypeStake Starter at $149/mo targets SMB segment.</t>
  </si>
  <si>
    <t>Professional Monthly Price</t>
  </si>
  <si>
    <t>Comparable to AspireIQ mid-tier pricing</t>
  </si>
  <si>
    <t>Enterprise Monthly Price</t>
  </si>
  <si>
    <t>CreatorIQ enterprise custom ($2K+/mo). HypeStake Enterprise $999/mo is competitive.</t>
  </si>
  <si>
    <t>Waiver</t>
  </si>
  <si>
    <t>1 = $0 subscription revenue in Y1. Waiving Y1 drives adoption.</t>
  </si>
  <si>
    <t>Conversion</t>
  </si>
  <si>
    <t>Explorer→Paid Conversion Rate</t>
  </si>
  <si>
    <t>Explorer→Paid Conversion %</t>
  </si>
  <si>
    <t>Deal Volume Growth Rate</t>
  </si>
  <si>
    <t>Annual Deal Volume Growth %</t>
  </si>
  <si>
    <t>Baseline</t>
  </si>
  <si>
    <t>TABLE 3: PREMIUM ADD-ON REVENUE DRIVERS</t>
  </si>
  <si>
    <t>Add-On</t>
  </si>
  <si>
    <t>Compliance Module Price</t>
  </si>
  <si>
    <t>Carta compliance $100-300/mo, Pulley $50-200/mo. HypeStake at $99/mo aligned.</t>
  </si>
  <si>
    <t>Analytics Pack Price</t>
  </si>
  <si>
    <t>Creator Genome deep insights upsell</t>
  </si>
  <si>
    <t>Early Liquidity Module Price</t>
  </si>
  <si>
    <t>Secondary market access for creator equity positions</t>
  </si>
  <si>
    <t>Attach</t>
  </si>
  <si>
    <t>15% of paying brands purchase at least 1 add-on</t>
  </si>
  <si>
    <t>Blended Add-On ARPU/Paying Brand</t>
  </si>
  <si>
    <t>Avg monthly add-on rev per paying brand (attach rate × avg module price)</t>
  </si>
  <si>
    <t>TABLE 4: EXPANSION RATES (ARR→Expansion% Lookup)</t>
  </si>
  <si>
    <t>TABLE 5: CREATOR ECONOMY GROWTH BENCHMARKS</t>
  </si>
  <si>
    <t>Year/Period</t>
  </si>
  <si>
    <t>Source</t>
  </si>
  <si>
    <t>Creator Economy Total Size</t>
  </si>
  <si>
    <t>Goldman Sachs Creator Economy Report</t>
  </si>
  <si>
    <t>Creator Economy Projected</t>
  </si>
  <si>
    <t>2027 est.</t>
  </si>
  <si>
    <t>Goldman Sachs, SignalFire</t>
  </si>
  <si>
    <t>Creator Economy Long-term</t>
  </si>
  <si>
    <t>$1T+</t>
  </si>
  <si>
    <t>2032 est.</t>
  </si>
  <si>
    <t>SignalFire Creator Economy Market Map</t>
  </si>
  <si>
    <t>Creator Economy CAGR</t>
  </si>
  <si>
    <t>19-25%</t>
  </si>
  <si>
    <t>Through 2032</t>
  </si>
  <si>
    <t>Multiple sources</t>
  </si>
  <si>
    <t>Brand Spend on Influencer Partnerships</t>
  </si>
  <si>
    <t>$24-33B</t>
  </si>
  <si>
    <t>Influencer Marketing Hub</t>
  </si>
  <si>
    <t>% Creator Comp as Equity/Rev-Share Today</t>
  </si>
  <si>
    <t>&lt;5%</t>
  </si>
  <si>
    <t>Current</t>
  </si>
  <si>
    <t>Massive room for growth — HypeStake's core opportunity</t>
  </si>
  <si>
    <t>HypeStake - AI Pipeline Cost Model (Monthly Per User)</t>
  </si>
  <si>
    <t>TABLE 1: CREATOR GENOME ALGORITHM</t>
  </si>
  <si>
    <t>Per Creator</t>
  </si>
  <si>
    <t>Per Brand</t>
  </si>
  <si>
    <t>Genome scans per month</t>
  </si>
  <si>
    <t>1 initial + 0.5 re-scans/mo for existing</t>
  </si>
  <si>
    <t>Tokens per scan (input)</t>
  </si>
  <si>
    <t>Creator data + social metrics + audience demographics</t>
  </si>
  <si>
    <t>Tokens per scan (output)</t>
  </si>
  <si>
    <t>Structured JSON genome report</t>
  </si>
  <si>
    <t>Cost per 1K tokens (input)</t>
  </si>
  <si>
    <t>Claude/GPT-4 tier inference</t>
  </si>
  <si>
    <t>Cost per 1K tokens (output)</t>
  </si>
  <si>
    <t>scans × tokens_in / 1000</t>
  </si>
  <si>
    <t>scans × tokens_out / 1000</t>
  </si>
  <si>
    <t>Genome Stage Cost/Creator/Month</t>
  </si>
  <si>
    <t>tokens_in_k × cost_in + tokens_out_k × cost_out</t>
  </si>
  <si>
    <t>TABLE 2: DYNAMIC DEAL ARCHITECT</t>
  </si>
  <si>
    <t>Per-Deal Cost</t>
  </si>
  <si>
    <t>Deal structuring requests/deal</t>
  </si>
  <si>
    <t>Initial offer + 2 counter-offer iterations</t>
  </si>
  <si>
    <t>Context tokens per request</t>
  </si>
  <si>
    <t>Creator genome + brand profile + deal terms + market data</t>
  </si>
  <si>
    <t>Response tokens per request</t>
  </si>
  <si>
    <t>Structured deal proposal JSON</t>
  </si>
  <si>
    <t>Cost per 1K tokens (in/out)</t>
  </si>
  <si>
    <t>$0.003 / $0.015</t>
  </si>
  <si>
    <t>Claude/GPT-4 tier</t>
  </si>
  <si>
    <t>Deal Architect Cost/Deal</t>
  </si>
  <si>
    <t>requests × (in_tokens×cost_in + out_tokens×cost_out)</t>
  </si>
  <si>
    <t>TABLE 3: SMART VESTING PROTOCOL</t>
  </si>
  <si>
    <t>Monthly Cost/Deal</t>
  </si>
  <si>
    <t>Vesting checks/active deal/month</t>
  </si>
  <si>
    <t>Monthly compliance/vesting verification</t>
  </si>
  <si>
    <t>Tokens per check (in/out)</t>
  </si>
  <si>
    <t>2,000 / 500</t>
  </si>
  <si>
    <t>Lighter model — Haiku/Flash tier</t>
  </si>
  <si>
    <t>Claude Haiku / GPT-4o-mini tier</t>
  </si>
  <si>
    <t>Vesting Cost/Active Deal/Month</t>
  </si>
  <si>
    <t>checks × (in_tokens×cost_in + out_tokens×cost_out)</t>
  </si>
  <si>
    <t>TABLE 4: AI TOOLS (Profile Builder, Deal Analyzer, Content Strategy, Brand Tools)</t>
  </si>
  <si>
    <t>Avg uses per month</t>
  </si>
  <si>
    <t>Tokens per use (input)</t>
  </si>
  <si>
    <t>Tokens per use (output)</t>
  </si>
  <si>
    <t>Mid-tier model (blended)</t>
  </si>
  <si>
    <t>AI Tools Cost/Creator/Month</t>
  </si>
  <si>
    <t>uses × (in_k×cost_in + out_k×cost_out)</t>
  </si>
  <si>
    <t>AI Tools Cost/Brand/Month</t>
  </si>
  <si>
    <t>SUMMARY: TOTAL MONTHLY LLM COSTS PER USER TYPE</t>
  </si>
  <si>
    <t>User Type</t>
  </si>
  <si>
    <t>Monthly LLM Cost</t>
  </si>
  <si>
    <t>Components</t>
  </si>
  <si>
    <t>Genome + AI Tools</t>
  </si>
  <si>
    <t>AI Tools only (brands don't get genome scans)</t>
  </si>
  <si>
    <t>Per Deal (one-time)</t>
  </si>
  <si>
    <t>Deal Architect cost</t>
  </si>
  <si>
    <t>Per Active Deal (monthly)</t>
  </si>
  <si>
    <t>Vesting Protocol cost</t>
  </si>
  <si>
    <t>LLM PRICING REFERENCE</t>
  </si>
  <si>
    <t>Model Tier</t>
  </si>
  <si>
    <t>Input/1K</t>
  </si>
  <si>
    <t>Output/1K</t>
  </si>
  <si>
    <t>Used For</t>
  </si>
  <si>
    <t>Claude Sonnet / GPT-4o</t>
  </si>
  <si>
    <t>Genome Algorithm, Deal Architect</t>
  </si>
  <si>
    <t>Claude Haiku / GPT-4o-mini</t>
  </si>
  <si>
    <t>Vesting Protocol, AI Tools</t>
  </si>
  <si>
    <t>Note:</t>
  </si>
  <si>
    <t>Costs assume volume pricing. Expect 15-20% annual cost reduction from model efficiency improvements.</t>
  </si>
  <si>
    <t>LLM Cost Reduction Factor</t>
  </si>
  <si>
    <t>Note</t>
  </si>
  <si>
    <t>Reduction Factor</t>
  </si>
  <si>
    <t>HypeStake - Cost of Revenue</t>
  </si>
  <si>
    <t>SECTION 1: USER COUNTS</t>
  </si>
  <si>
    <t>Total Creators on Platform</t>
  </si>
  <si>
    <t>Active Creators (completed ≥1 deal)</t>
  </si>
  <si>
    <t>Total Brands (Starter+Pro+Enterprise)</t>
  </si>
  <si>
    <t>Total Platform Users</t>
  </si>
  <si>
    <t>Total Deals (from Assumptions)</t>
  </si>
  <si>
    <t>SECTION 3: AI/LLM INFERENCE COSTS</t>
  </si>
  <si>
    <t>A) Creator Genome Algorithm</t>
  </si>
  <si>
    <t>Active creators × monthly cost × 12 × reduction factor</t>
  </si>
  <si>
    <t>B) Dynamic Deal Architect</t>
  </si>
  <si>
    <t>Deals × cost per deal × reduction factor</t>
  </si>
  <si>
    <t>C) Smart Vesting Protocol</t>
  </si>
  <si>
    <t>Active deals × monthly cost × 12 × reduction</t>
  </si>
  <si>
    <t>D) AI Brand/Creator Tools</t>
  </si>
  <si>
    <t>(Creators×2 + Brands×4) × $0.10 equiv × 12 × reduction</t>
  </si>
  <si>
    <t>Total AI/LLM Costs</t>
  </si>
  <si>
    <t>SECTION 4: INFRASTRUCTURE COSTS</t>
  </si>
  <si>
    <t>Cloud Hosting (AWS/Azure)</t>
  </si>
  <si>
    <t>$0.50/user/mo + $0.02/deal</t>
  </si>
  <si>
    <t>Database Costs</t>
  </si>
  <si>
    <t>$0.15/user/mo</t>
  </si>
  <si>
    <t>CDN &amp; Content Delivery</t>
  </si>
  <si>
    <t>$0.05/user/mo</t>
  </si>
  <si>
    <t>Security &amp; Compliance Infra</t>
  </si>
  <si>
    <t>$500/mo base + $0.10/brand/mo</t>
  </si>
  <si>
    <t>SECTION 5: CUSTOMER SUPPORT COSTS</t>
  </si>
  <si>
    <t>Creator Support ($0.50/mo)</t>
  </si>
  <si>
    <t>Mostly self-serve</t>
  </si>
  <si>
    <t>Brand Support (Starter $5, Pro $15, Ent $50/mo)</t>
  </si>
  <si>
    <t>Tiered support by brand level</t>
  </si>
  <si>
    <t>Total Support Costs</t>
  </si>
  <si>
    <t>SECTION 6: TOTAL COST OF REVENUE</t>
  </si>
  <si>
    <t>TOTAL COST OF REVENUE</t>
  </si>
  <si>
    <t>HypeStake - Personnel Plan</t>
  </si>
  <si>
    <t>Role</t>
  </si>
  <si>
    <t>HC</t>
  </si>
  <si>
    <t>Annual</t>
  </si>
  <si>
    <t>$ Total</t>
  </si>
  <si>
    <t>1. EXECUTIVE TEAM</t>
  </si>
  <si>
    <t>CEO/Founder (Andrew Rodriguez)</t>
  </si>
  <si>
    <t>Total EXECUTIVE TEAM</t>
  </si>
  <si>
    <t>2. ENGINEERING &amp; AI/ML</t>
  </si>
  <si>
    <t>Data Scientist</t>
  </si>
  <si>
    <t>DevOps/Infrastructure</t>
  </si>
  <si>
    <t>QA Engineer</t>
  </si>
  <si>
    <t>Total ENGINEERING &amp; AI/ML</t>
  </si>
  <si>
    <t>3. PRODUCT &amp; DESIGN</t>
  </si>
  <si>
    <t>Product Manager</t>
  </si>
  <si>
    <t>UX/UI Designer</t>
  </si>
  <si>
    <t>Total PRODUCT &amp; DESIGN</t>
  </si>
  <si>
    <t>4. SALES &amp; MARKETING</t>
  </si>
  <si>
    <t>Brand Account Executive</t>
  </si>
  <si>
    <t>Digital Marketer</t>
  </si>
  <si>
    <t>Content/Community Manager</t>
  </si>
  <si>
    <t>Total SALES &amp; MARKETING</t>
  </si>
  <si>
    <t>5. CUSTOMER SUCCESS</t>
  </si>
  <si>
    <t>Brand Onboarding Specialist</t>
  </si>
  <si>
    <t>Creator Community Manager</t>
  </si>
  <si>
    <t>Total CUSTOMER SUCCESS</t>
  </si>
  <si>
    <t>6. GENERAL &amp; ADMINISTRATIVE</t>
  </si>
  <si>
    <t>HR/Ops Manager</t>
  </si>
  <si>
    <t>Legal Counsel (part-time/contract)</t>
  </si>
  <si>
    <t>Office/Admin</t>
  </si>
  <si>
    <t>Total GENERAL &amp; ADMINISTRATIVE</t>
  </si>
  <si>
    <t>SUMMARY</t>
  </si>
  <si>
    <t>Total Headcount</t>
  </si>
  <si>
    <t>Total Salary Cost</t>
  </si>
  <si>
    <t>Benefits &amp; Payroll Tax %</t>
  </si>
  <si>
    <t>Fully Loaded Personnel Cost</t>
  </si>
  <si>
    <t>HypeStake - Operating Expenses</t>
  </si>
  <si>
    <t>Total Revenue (from Revenue Calc)</t>
  </si>
  <si>
    <t>R&amp;D EXPENSES</t>
  </si>
  <si>
    <t>Creator Genome Enhancement</t>
  </si>
  <si>
    <t>3.0% of revenue — AI model improvement</t>
  </si>
  <si>
    <t>Deal Architect Improvements</t>
  </si>
  <si>
    <t>2.0% of revenue — Deal structuring AI R&amp;D</t>
  </si>
  <si>
    <t>Smart Vesting Protocol Dev</t>
  </si>
  <si>
    <t>1.5% of revenue — Vesting/compliance protocol</t>
  </si>
  <si>
    <t>Shadow Cap Table &amp; Portfolio</t>
  </si>
  <si>
    <t>1.5% of revenue — Cap table tracking features</t>
  </si>
  <si>
    <t>Platform Scalability &amp; Security</t>
  </si>
  <si>
    <t>2.0% of revenue — Infrastructure scaling</t>
  </si>
  <si>
    <t>Mobile App Development</t>
  </si>
  <si>
    <t>1.0% of revenue — iOS/Android app dev</t>
  </si>
  <si>
    <t>Engineering + Product team salaries</t>
  </si>
  <si>
    <t>TOTAL R&amp;D</t>
  </si>
  <si>
    <t>SALES &amp; MARKETING EXPENSES</t>
  </si>
  <si>
    <t>Brand Customer Acquisition</t>
  </si>
  <si>
    <t>Brand Building &amp; PR</t>
  </si>
  <si>
    <t>Sales Personnel</t>
  </si>
  <si>
    <t>Customer Success Personnel</t>
  </si>
  <si>
    <t>TOTAL S&amp;M</t>
  </si>
  <si>
    <t>GENERAL &amp; ADMINISTRATIVE</t>
  </si>
  <si>
    <t>Rent &amp; Utilities</t>
  </si>
  <si>
    <t>Legal &amp; Compliance (external)</t>
  </si>
  <si>
    <t>Insurance (D&amp;O, E&amp;O, Cyber)</t>
  </si>
  <si>
    <t>Software &amp; Tools ($2K/employee)</t>
  </si>
  <si>
    <t>Executive &amp; G&amp;A Personnel</t>
  </si>
  <si>
    <t>TOTAL G&amp;A</t>
  </si>
  <si>
    <t>OpEx as % of Revenue</t>
  </si>
  <si>
    <t>HypeStake - Income Statement (5-Year Projections)</t>
  </si>
  <si>
    <t>REVENUE</t>
  </si>
  <si>
    <t>Transaction Fee Revenue</t>
  </si>
  <si>
    <t>Brand Subscription Revenue</t>
  </si>
  <si>
    <t>Premium Add-On Revenue</t>
  </si>
  <si>
    <t>Revenue Mix %</t>
  </si>
  <si>
    <t>COST OF GOODS SOLD</t>
  </si>
  <si>
    <t>OPERATING EXPENSES</t>
  </si>
  <si>
    <t>PROFITABILITY</t>
  </si>
  <si>
    <t>NOL TRACKING</t>
  </si>
  <si>
    <t>Beginning NOL Balance</t>
  </si>
  <si>
    <t>NOL Generated (when EBT &lt; 0)</t>
  </si>
  <si>
    <t>NOL Used</t>
  </si>
  <si>
    <t>Ending NOL Balance</t>
  </si>
  <si>
    <t>HypeStake - Balance Sheet</t>
  </si>
  <si>
    <t>Intangible Amort Years</t>
  </si>
  <si>
    <t>PP&amp;E (Cumulative CapEx)</t>
  </si>
  <si>
    <t>Intangible Assets (Creator Genome IP)</t>
  </si>
  <si>
    <t>Accumulated Intangible Amortization</t>
  </si>
  <si>
    <t>Net Intangible Assets</t>
  </si>
  <si>
    <t>Paid-in Capital (Cumulative Equity Raised)</t>
  </si>
  <si>
    <t>Total Equity</t>
  </si>
  <si>
    <t>TOTAL LIABILITIES + EQUITY</t>
  </si>
  <si>
    <t>HypeStake - Cash Flow Statement</t>
  </si>
  <si>
    <t>Adjustments:</t>
  </si>
  <si>
    <t xml:space="preserve">  Depreciation &amp; Amortization</t>
  </si>
  <si>
    <t xml:space="preserve">  Stock-Based Compensation</t>
  </si>
  <si>
    <t>Changes in Working Capital:</t>
  </si>
  <si>
    <t xml:space="preserve">  (Increase)/Decrease in AR</t>
  </si>
  <si>
    <t xml:space="preserve">  (Increase)/Decrease in Prepaid</t>
  </si>
  <si>
    <t xml:space="preserve">  Increase/(Decrease) in AP</t>
  </si>
  <si>
    <t xml:space="preserve">  Increase/(Decrease) in Accrued</t>
  </si>
  <si>
    <t xml:space="preserve">  Increase/(Decrease) in Deferred Rev</t>
  </si>
  <si>
    <t>Net Cash from Operations</t>
  </si>
  <si>
    <t>Intangible Asset Investment</t>
  </si>
  <si>
    <t>Net Cash from Investing</t>
  </si>
  <si>
    <t>Debt Proceeds / Repayments</t>
  </si>
  <si>
    <t>Net Cash from Financing</t>
  </si>
  <si>
    <t>CASH SUMMARY</t>
  </si>
  <si>
    <t>Total Cash Flow</t>
  </si>
  <si>
    <t>Beginning Cash</t>
  </si>
  <si>
    <t>Ending Cash</t>
  </si>
  <si>
    <t>Validation: Ending Cash = BS Cash</t>
  </si>
  <si>
    <t>HypeStake - Statement of Retained Earnings</t>
  </si>
  <si>
    <t>Balance Sheet Retained Earnings</t>
  </si>
  <si>
    <t>HypeStake - Yearly Summary</t>
  </si>
  <si>
    <t>MARKETPLACE METRICS</t>
  </si>
  <si>
    <t>Active Creators (deal-making)</t>
  </si>
  <si>
    <t>Brands - Starter</t>
  </si>
  <si>
    <t>Brands - Professional</t>
  </si>
  <si>
    <t>Brands - Enterprise</t>
  </si>
  <si>
    <t>Total Paying Brands</t>
  </si>
  <si>
    <t>Total Deals Brokered</t>
  </si>
  <si>
    <t>Platform Liquidity (Creators/Brands)</t>
  </si>
  <si>
    <t>Subscription Revenue</t>
  </si>
  <si>
    <t>Add-On Revenue</t>
  </si>
  <si>
    <t>Revenue per Brand (ARPU)</t>
  </si>
  <si>
    <t>Revenue per Deal</t>
  </si>
  <si>
    <t>DEAL METRICS</t>
  </si>
  <si>
    <t>Hybrid Deals</t>
  </si>
  <si>
    <t>Total Cash Through Platform</t>
  </si>
  <si>
    <t>Blended Take-Rate (realized)</t>
  </si>
  <si>
    <t>Creator Signups → First Deal</t>
  </si>
  <si>
    <t>HypeStake - Unit Economics</t>
  </si>
  <si>
    <t>BRAND-SIDE UNIT ECONOMICS</t>
  </si>
  <si>
    <t>ARPU per Brand (Annual)</t>
  </si>
  <si>
    <t>Monthly ARPU</t>
  </si>
  <si>
    <t>Blended Brand CAC</t>
  </si>
  <si>
    <t>Blended Annual Churn</t>
  </si>
  <si>
    <t>Brand Retention Rate</t>
  </si>
  <si>
    <t>Brand Avg Lifespan (Yrs)</t>
  </si>
  <si>
    <t>Brand LTV</t>
  </si>
  <si>
    <t>CREATOR-SIDE UNIT ECONOMICS</t>
  </si>
  <si>
    <t>Total Creators</t>
  </si>
  <si>
    <t>Active Creators</t>
  </si>
  <si>
    <t>Creator CAC</t>
  </si>
  <si>
    <t>Rev per Active Creator</t>
  </si>
  <si>
    <t>Creator Activation Rate</t>
  </si>
  <si>
    <t>Creator Lifespan (Yrs)</t>
  </si>
  <si>
    <t>Creator LTV</t>
  </si>
  <si>
    <t>Creator LTV:CAC</t>
  </si>
  <si>
    <t>MARKETPLACE HEALTH METRICS</t>
  </si>
  <si>
    <t>Creators per Brand</t>
  </si>
  <si>
    <t>Gross Merchandise Value</t>
  </si>
  <si>
    <t>Platform Take-Rate</t>
  </si>
  <si>
    <t>NRR (Est.)</t>
  </si>
  <si>
    <t>HypeStake - Break-Even Analysis</t>
  </si>
  <si>
    <t>ARPU per Brand</t>
  </si>
  <si>
    <t>II. COST STRUCTURE</t>
  </si>
  <si>
    <t>Variable Costs (COGS)</t>
  </si>
  <si>
    <t>Variable Cost per Brand</t>
  </si>
  <si>
    <t>Fixed Costs (OpEx)</t>
  </si>
  <si>
    <t>Contribution Margin/Brand</t>
  </si>
  <si>
    <t>Break-Even Brands</t>
  </si>
  <si>
    <t>Actual Brands</t>
  </si>
  <si>
    <t>Gap (Actual - BE Brands)</t>
  </si>
  <si>
    <t>Margin of Safety %</t>
  </si>
  <si>
    <t>Note: HypeStake's Y1 brand fee waiver delays break-even but accelerates marketplace liquidity and network effects.</t>
  </si>
  <si>
    <t>HypeStake - TAM/SAM/SOM Market Sizing</t>
  </si>
  <si>
    <t>TOTAL ADDRESSABLE MARKET (TAM)</t>
  </si>
  <si>
    <t>Creator Economy Total (2025)</t>
  </si>
  <si>
    <t>Projected (2027 est.)</t>
  </si>
  <si>
    <t>Projected (2032 est.)</t>
  </si>
  <si>
    <t>CAGR</t>
  </si>
  <si>
    <t>Source: Goldman Sachs, SignalFire, Influencer Marketing Hub</t>
  </si>
  <si>
    <t>SERVICEABLE ADDRESSABLE MARKET (SAM)</t>
  </si>
  <si>
    <t>Professional Creators &amp; Brand Partnerships</t>
  </si>
  <si>
    <t>Conservative estimate</t>
  </si>
  <si>
    <t>SERVICEABLE OBTAINABLE MARKET (SOM)</t>
  </si>
  <si>
    <t>Penetration Target (1-2% of SAM)</t>
  </si>
  <si>
    <t>HypeStake Y5 Revenue</t>
  </si>
  <si>
    <t>Y5 Revenue as % of SOM</t>
  </si>
  <si>
    <t>MARKET GROWTH PROJECTION (19% CAGR)</t>
  </si>
  <si>
    <t>TAM</t>
  </si>
  <si>
    <t>HypeStake Rev</t>
  </si>
  <si>
    <t>HypeStake - Scenario Analysis</t>
  </si>
  <si>
    <t>Deal Volume Growth Multiplier</t>
  </si>
  <si>
    <t>Brand Churn Adjustment</t>
  </si>
  <si>
    <t>Brand CAC Adjustment</t>
  </si>
  <si>
    <t>Take-Rate Adjustment</t>
  </si>
  <si>
    <t>Brand Sub Conversion</t>
  </si>
  <si>
    <t>Total Brands</t>
  </si>
  <si>
    <t>5-YEAR SUMMARY</t>
  </si>
  <si>
    <t>Cumulative Revenue (5Y)</t>
  </si>
  <si>
    <t>Year 5 ARR</t>
  </si>
  <si>
    <t>Implied Valuation (10x ARR)</t>
  </si>
  <si>
    <t>HypeStake - Funding &amp; Capitalization</t>
  </si>
  <si>
    <t>Round</t>
  </si>
  <si>
    <t>Amount</t>
  </si>
  <si>
    <t>Active</t>
  </si>
  <si>
    <t>Rev Multiple</t>
  </si>
  <si>
    <t>Ownership Sold %</t>
  </si>
  <si>
    <t>Initial %</t>
  </si>
  <si>
    <t>Post-Seed %</t>
  </si>
  <si>
    <t>Post-Series A %</t>
  </si>
  <si>
    <t>Founders</t>
  </si>
  <si>
    <t>Employees/Advisors (ESOP)</t>
  </si>
  <si>
    <t>Early Advisors</t>
  </si>
  <si>
    <t>Available Pool</t>
  </si>
  <si>
    <t>IV. CASH RUNWAY ANALYSIS</t>
  </si>
  <si>
    <t>Cash Balance</t>
  </si>
  <si>
    <t>Cash Runway (Months)</t>
  </si>
  <si>
    <t>HYPESTAKE — 5 YEAR CREATOR EQUITY PLATFORM FINANCIAL MODEL</t>
  </si>
  <si>
    <t>KEY METRICS — Year 5 (2030)</t>
  </si>
  <si>
    <t>Total Deals Brokered (Y5)</t>
  </si>
  <si>
    <t>Total Cumulative Revenue</t>
  </si>
  <si>
    <t>Creator Growth (Y1→Y5)</t>
  </si>
  <si>
    <t>Brand Growth (Y1→Y5)</t>
  </si>
  <si>
    <t>Payback (mo)</t>
  </si>
  <si>
    <t>Brand (Blended Y5)</t>
  </si>
  <si>
    <t>Creator (Y5)</t>
  </si>
  <si>
    <t>Brands</t>
  </si>
  <si>
    <t>Creators</t>
  </si>
  <si>
    <t>Deals</t>
  </si>
  <si>
    <t>SCENARIO SUMMARY</t>
  </si>
  <si>
    <t>Y5 ARR</t>
  </si>
  <si>
    <t>Implied Valuation (10x)</t>
  </si>
  <si>
    <t>HypeStake - Model Validation</t>
  </si>
  <si>
    <t>CHECK 1: Balance Sheet Balance</t>
  </si>
  <si>
    <t>CHECK 2: Cash Reconciliation</t>
  </si>
  <si>
    <t>CHECK 3: Retained Earnings Reconciliation</t>
  </si>
  <si>
    <t>CHECK 7: Gross Margin Reasonableness</t>
  </si>
  <si>
    <t>OVERALL STATUS</t>
  </si>
  <si>
    <t>HypeStake - AI/API Cost Details</t>
  </si>
  <si>
    <t>Pre-Seed</t>
  </si>
  <si>
    <t>Post-Pre-Seed %</t>
  </si>
  <si>
    <t>Note: Pre-Seed ($500K) in Y1 funds lean MVP stage. Seed ($3M) in Y2 enables team scaling. Y3 survives on revenue growth. Series A ($15M) in Y4 funds scale-up.</t>
  </si>
  <si>
    <t>5-8% declining — lean pre-seed, then grows with brand awareness</t>
  </si>
  <si>
    <t>2-4% declining — viral/content/referral, low cost</t>
  </si>
  <si>
    <t>3-7% declining — agency/network partnerships</t>
  </si>
  <si>
    <t>2-6% declining — PR, events, thought leadership</t>
  </si>
  <si>
    <t>Remote-first Y1-Y3; office from Y4 (post-Series A)</t>
  </si>
  <si>
    <t>(0 = brands pay from Day 1; Explorer tier remains free)</t>
  </si>
  <si>
    <t>Revenue Multiple (Legacy)</t>
  </si>
  <si>
    <t>Payment Processing Rate</t>
  </si>
  <si>
    <t>SECTION 5B: PAYMENT PROCESSING COSTS</t>
  </si>
  <si>
    <t>Stripe/processor fee on all revenue collected</t>
  </si>
  <si>
    <t>Per-Transaction Fixed Fee ($0.30)</t>
  </si>
  <si>
    <t>Est. on subscription + deal transactions</t>
  </si>
  <si>
    <t>Total Payment Processing Costs</t>
  </si>
  <si>
    <t>$0.001 / $0.005</t>
  </si>
  <si>
    <t>50% compounding annual reduction (conservative vs. 5-10x/yr observed)</t>
  </si>
  <si>
    <t>Compliance Monitoring ($/deal/yr)</t>
  </si>
  <si>
    <t>Third-Party Data API Cost ($/creator/yr)</t>
  </si>
  <si>
    <t>Escrow/Custodial Fee ($/deal)</t>
  </si>
  <si>
    <t>Payment Processing Rate (scaled Y3+)</t>
  </si>
  <si>
    <t>Infrastructure Volume Discount %</t>
  </si>
  <si>
    <t>LLM Cost Reduction Rate (annual)</t>
  </si>
  <si>
    <t>50% (see LLM Costs sheet)</t>
  </si>
  <si>
    <t>SECTION 5C: COMPLIANCE, DATA &amp; ESCROW COSTS</t>
  </si>
  <si>
    <t>Compliance Monitoring (AML/KYC/SEC)</t>
  </si>
  <si>
    <t>$15/deal/yr from Assumptions</t>
  </si>
  <si>
    <t>Third-Party Data APIs (Creator Genome)</t>
  </si>
  <si>
    <t>$3/active creator/yr from Assumptions</t>
  </si>
  <si>
    <t>Escrow/Custodial Services</t>
  </si>
  <si>
    <t>$20/deal from Assumptions</t>
  </si>
  <si>
    <t>Total Compliance/Data/Escrow Costs</t>
  </si>
  <si>
    <t>Payment Processing (scaled rate)</t>
  </si>
  <si>
    <t>Volume Discount (committed-use)</t>
  </si>
  <si>
    <t>From Assumptions: committed-use pricing</t>
  </si>
  <si>
    <t>AUDIT FIX: Gross margin now ~86-89% including compliance, data APIs, escrow, volume discounts. Benchmark: SaaS median 77%, AI-core SaaS ~72%, marketplace/fintech 70-85%.</t>
  </si>
  <si>
    <t>This sheet is a reference index. All AI/API costs are modeled in the following sheets:</t>
  </si>
  <si>
    <t xml:space="preserve">  → 'LLM Costs': Detailed per-user AI pipeline costs (Genome, Deal Architect, Vesting, AI Tools)</t>
  </si>
  <si>
    <t xml:space="preserve">  → 'Cost of Revenue': Infrastructure, support, payment processing, compliance, and total COGS</t>
  </si>
  <si>
    <t xml:space="preserve">  → 'Assumptions': Central control panel for all cost rates (rows 88-97)</t>
  </si>
  <si>
    <t>Key cost assumptions: LLM costs reduce 50% annually (conservative vs 5-10x/yr observed). Payment processing scales from 2.9% to 2.2% at volume. Infrastructure volume discounts apply Y3+.</t>
  </si>
  <si>
    <t>SaaS</t>
  </si>
  <si>
    <t>Annual Salary Escalation Rate</t>
  </si>
  <si>
    <t>Intangible Investment (Creator Genome IP)</t>
  </si>
  <si>
    <t>Stock-Based Compensation (% of Salary)</t>
  </si>
  <si>
    <t>Stock-Based Compensation</t>
  </si>
  <si>
    <t>CASH RUNWAY ANALYSIS</t>
  </si>
  <si>
    <t>Monthly Net Burn (Ops + Inv)</t>
  </si>
  <si>
    <t>Months of Runway (End Cash / |Burn|)</t>
  </si>
  <si>
    <t>Cash Positive?</t>
  </si>
  <si>
    <t>STRESS TEST: Series A Delays 6 Months</t>
  </si>
  <si>
    <t>Cash if Series A Delayed 6mo</t>
  </si>
  <si>
    <t>Months Until Cash-Out (if delayed)</t>
  </si>
  <si>
    <t>Survival?</t>
  </si>
  <si>
    <t>Stress Test</t>
  </si>
  <si>
    <t>Conservative: slow adoption; Optimistic: viral effects; Stress: near-failure</t>
  </si>
  <si>
    <t>Conservative: high SMB churn; Optimistic: strong retention; Stress: severe churn</t>
  </si>
  <si>
    <t>Conservative: competitive; Optimistic: strong referrals; Stress: paid-only CAC</t>
  </si>
  <si>
    <t>Conservative: fee pressure; Optimistic: premium complexity; Stress: race to bottom</t>
  </si>
  <si>
    <t>Conservative: slow conversion; Optimistic: high stickiness; Stress: minimal subs</t>
  </si>
  <si>
    <t>PROFITABILITY ANALYSIS</t>
  </si>
  <si>
    <t>Y5 Adjusted Revenue</t>
  </si>
  <si>
    <t>Y5 Base COGS (CAC-Adj)</t>
  </si>
  <si>
    <t>Y5 Gross Profit (Adj)</t>
  </si>
  <si>
    <t>Y5 Base OpEx</t>
  </si>
  <si>
    <t>Y5 Adj EBITDA</t>
  </si>
  <si>
    <t>Y5 EBITDA Margin %</t>
  </si>
  <si>
    <t>CASH-OUT RISK ANALYSIS</t>
  </si>
  <si>
    <t>Total Funding Raised</t>
  </si>
  <si>
    <t>5Y Cumul. Net Income (Adj)</t>
  </si>
  <si>
    <t>Est. Cash Position (5Y End)</t>
  </si>
  <si>
    <t>Cash Runway Status</t>
  </si>
  <si>
    <t>CHECK 4: Revenue Consistency (IS vs YS)</t>
  </si>
  <si>
    <t>CHECK 5: OpEx Consistency (incl. SBC)</t>
  </si>
  <si>
    <t>CHECK 6: Customer Count Consistency</t>
  </si>
  <si>
    <t>CHECK 8: Funding Consistency (CFS vs Assumptions)</t>
  </si>
  <si>
    <t>CHECK 9: Personnel = OpEx Personnel Lines</t>
  </si>
  <si>
    <t>CHECK 10: Cap Table Sums to 100%</t>
  </si>
  <si>
    <t>CHECK 11: Paid-in Capital = Equity + Cumul SBC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</si>
</sst>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0.0"/>
    <numFmt numFmtId="168" formatCode="&quot;$&quot;#,##0.00"/>
    <numFmt numFmtId="169" formatCode="\$#,##0_);\(\$#,##0\);&quot;-&quot;;"/>
    <numFmt numFmtId="170" formatCode="0.0\x"/>
    <numFmt numFmtId="171" formatCode="0&quot;x&quot;"/>
    <numFmt numFmtId="172" formatCode="&quot;$&quot;#,##0,,&quot;B&quot;"/>
    <numFmt numFmtId="173" formatCode="&quot;$&quot;0.000"/>
    <numFmt numFmtId="174" formatCode="&quot;$&quot;0.0000"/>
    <numFmt numFmtId="175" formatCode="&quot;$&quot;#,##0;\(&quot;$&quot;#,##0\);&quot;-&quot;"/>
    <numFmt numFmtId="176" formatCode="&quot;$&quot;#,##0,,&quot;M&quot;"/>
    <numFmt numFmtId="177" formatCode="0.0000%"/>
    <numFmt numFmtId="178" formatCode="&quot;$&quot;#,##0;\(&quot;$&quot;#,##0\);\-"/>
    <numFmt numFmtId="179" formatCode="0.0&quot;x&quot;"/>
  </numFmts>
  <fonts count="6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tkinson Hyperlegible"/>
    </font>
    <font>
      <sz val="12"/>
      <color theme="1"/>
      <name val="Atkinson Hyperlegible"/>
    </font>
    <font>
      <sz val="16"/>
      <color theme="1"/>
      <name val="Atkinson Hyperlegible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</font>
    <font>
      <b/>
      <sz val="16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b/>
      <sz val="12"/>
      <color rgb="FFFFFFFF"/>
      <name val="Aptos Narrow"/>
      <family val="2"/>
      <scheme val="minor"/>
    </font>
    <font>
      <sz val="12"/>
      <color theme="1"/>
      <name val="Noto Sans"/>
      <family val="2"/>
    </font>
    <font>
      <sz val="11"/>
      <color theme="1"/>
      <name val="Noto Sans"/>
      <family val="2"/>
    </font>
    <font>
      <sz val="13"/>
      <color theme="1"/>
      <name val="Noto Sans"/>
      <family val="2"/>
    </font>
    <font>
      <b/>
      <sz val="18"/>
      <color rgb="FFFFFFFF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rgb="FF0000FF"/>
      <name val="Aptos Narrow"/>
      <family val="2"/>
      <scheme val="minor"/>
    </font>
    <font>
      <sz val="10"/>
      <color rgb="FF0000FF"/>
      <name val="Aptos Narrow"/>
      <scheme val="minor"/>
    </font>
    <font>
      <sz val="9"/>
      <color rgb="FF666666"/>
      <name val="Aptos Narrow"/>
      <family val="2"/>
      <scheme val="minor"/>
    </font>
    <font>
      <sz val="9"/>
      <color rgb="FF666666"/>
      <name val="Aptos Narrow"/>
      <scheme val="minor"/>
    </font>
    <font>
      <b/>
      <sz val="10"/>
      <color rgb="FF666666"/>
      <name val="Aptos Narrow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scheme val="minor"/>
    </font>
    <font>
      <sz val="9"/>
      <color rgb="FF008000"/>
      <name val="Aptos Narrow"/>
      <scheme val="minor"/>
    </font>
    <font>
      <sz val="10"/>
      <color theme="1"/>
      <name val="Aptos Narrow"/>
    </font>
    <font>
      <b/>
      <sz val="10"/>
      <color theme="1"/>
      <name val="Aptos Narrow"/>
    </font>
    <font>
      <sz val="9"/>
      <color rgb="FF666666"/>
      <name val="Aptos Narrow"/>
    </font>
    <font>
      <b/>
      <sz val="12"/>
      <color theme="1"/>
      <name val="Aptos Narrow"/>
    </font>
    <font>
      <b/>
      <sz val="9"/>
      <color theme="1"/>
      <name val="Aptos Narrow"/>
    </font>
    <font>
      <sz val="10"/>
      <color rgb="FF0000FF"/>
      <name val="Aptos Narrow"/>
    </font>
    <font>
      <i/>
      <sz val="10"/>
      <color theme="1"/>
      <name val="Aptos Narrow"/>
      <scheme val="minor"/>
    </font>
    <font>
      <b/>
      <i/>
      <sz val="10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9"/>
      <color theme="1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sz val="12"/>
      <color rgb="FF666666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666666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666666"/>
      <name val="Aptos Narrow"/>
      <family val="2"/>
      <scheme val="minor"/>
    </font>
    <font>
      <sz val="12"/>
      <color rgb="FF999999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sz val="10"/>
      <color rgb="FF008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999999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153D6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4" fillId="2" borderId="0" xfId="0" applyFont="1" applyFill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2" borderId="0" xfId="0" applyFont="1" applyFill="1"/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/>
    <xf numFmtId="0" fontId="13" fillId="0" borderId="0" xfId="0" applyFont="1" applyAlignment="1">
      <alignment vertical="center"/>
    </xf>
    <xf numFmtId="0" fontId="15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2" borderId="0" xfId="0" applyFont="1" applyFill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9" fillId="0" borderId="0" xfId="0" applyFont="1"/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9" fillId="2" borderId="0" xfId="0" applyFont="1" applyFill="1"/>
    <xf numFmtId="44" fontId="19" fillId="0" borderId="0" xfId="0" applyNumberFormat="1" applyFont="1" applyAlignment="1">
      <alignment horizontal="center"/>
    </xf>
    <xf numFmtId="0" fontId="9" fillId="0" borderId="0" xfId="0" applyFont="1"/>
    <xf numFmtId="0" fontId="17" fillId="5" borderId="0" xfId="0" applyFont="1" applyFill="1"/>
    <xf numFmtId="0" fontId="7" fillId="0" borderId="0" xfId="0" applyFont="1" applyAlignment="1">
      <alignment horizontal="left" indent="1"/>
    </xf>
    <xf numFmtId="0" fontId="9" fillId="4" borderId="0" xfId="0" applyFont="1" applyFill="1"/>
    <xf numFmtId="0" fontId="17" fillId="6" borderId="0" xfId="0" applyFont="1" applyFill="1"/>
    <xf numFmtId="164" fontId="7" fillId="0" borderId="0" xfId="0" applyNumberFormat="1" applyFont="1"/>
    <xf numFmtId="169" fontId="7" fillId="0" borderId="0" xfId="0" applyNumberFormat="1" applyFont="1"/>
    <xf numFmtId="3" fontId="7" fillId="0" borderId="0" xfId="0" applyNumberFormat="1" applyFont="1"/>
    <xf numFmtId="2" fontId="7" fillId="0" borderId="0" xfId="0" applyNumberFormat="1" applyFont="1"/>
    <xf numFmtId="0" fontId="7" fillId="4" borderId="0" xfId="0" applyFont="1" applyFill="1"/>
    <xf numFmtId="49" fontId="7" fillId="0" borderId="0" xfId="0" applyNumberFormat="1" applyFont="1" applyAlignment="1">
      <alignment horizontal="left" indent="1"/>
    </xf>
    <xf numFmtId="0" fontId="23" fillId="0" borderId="0" xfId="0" applyFont="1"/>
    <xf numFmtId="0" fontId="24" fillId="0" borderId="0" xfId="0" applyFont="1"/>
    <xf numFmtId="0" fontId="25" fillId="9" borderId="0" xfId="0" applyFont="1" applyFill="1"/>
    <xf numFmtId="0" fontId="27" fillId="0" borderId="0" xfId="0" applyFont="1"/>
    <xf numFmtId="0" fontId="27" fillId="10" borderId="0" xfId="0" applyFont="1" applyFill="1"/>
    <xf numFmtId="0" fontId="30" fillId="0" borderId="0" xfId="0" applyFont="1"/>
    <xf numFmtId="0" fontId="31" fillId="0" borderId="0" xfId="0" applyFont="1"/>
    <xf numFmtId="0" fontId="32" fillId="10" borderId="0" xfId="0" applyFont="1" applyFill="1"/>
    <xf numFmtId="0" fontId="33" fillId="0" borderId="0" xfId="0" applyFont="1"/>
    <xf numFmtId="0" fontId="34" fillId="0" borderId="0" xfId="0" applyFont="1"/>
    <xf numFmtId="0" fontId="27" fillId="10" borderId="0" xfId="0" applyFont="1" applyFill="1" applyAlignment="1">
      <alignment horizontal="center"/>
    </xf>
    <xf numFmtId="3" fontId="27" fillId="0" borderId="0" xfId="0" applyNumberFormat="1" applyFont="1"/>
    <xf numFmtId="0" fontId="24" fillId="0" borderId="0" xfId="0" applyFont="1" applyAlignment="1">
      <alignment horizontal="center"/>
    </xf>
    <xf numFmtId="165" fontId="24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horizontal="center"/>
    </xf>
    <xf numFmtId="164" fontId="27" fillId="0" borderId="0" xfId="0" applyNumberFormat="1" applyFont="1" applyAlignment="1">
      <alignment horizontal="center"/>
    </xf>
    <xf numFmtId="0" fontId="32" fillId="10" borderId="0" xfId="0" applyFont="1" applyFill="1" applyAlignment="1">
      <alignment horizontal="center"/>
    </xf>
    <xf numFmtId="0" fontId="29" fillId="8" borderId="0" xfId="0" applyFont="1" applyFill="1" applyAlignment="1">
      <alignment horizontal="center"/>
    </xf>
    <xf numFmtId="9" fontId="29" fillId="8" borderId="0" xfId="0" applyNumberFormat="1" applyFont="1" applyFill="1" applyAlignment="1">
      <alignment horizontal="center"/>
    </xf>
    <xf numFmtId="9" fontId="0" fillId="0" borderId="0" xfId="0" applyNumberFormat="1"/>
    <xf numFmtId="9" fontId="24" fillId="0" borderId="0" xfId="0" applyNumberFormat="1" applyFont="1" applyAlignment="1">
      <alignment horizontal="center"/>
    </xf>
    <xf numFmtId="168" fontId="27" fillId="0" borderId="0" xfId="0" applyNumberFormat="1" applyFont="1" applyAlignment="1">
      <alignment horizontal="center"/>
    </xf>
    <xf numFmtId="172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35" fillId="0" borderId="0" xfId="0" applyFont="1"/>
    <xf numFmtId="3" fontId="29" fillId="8" borderId="0" xfId="0" applyNumberFormat="1" applyFont="1" applyFill="1" applyAlignment="1">
      <alignment horizontal="center"/>
    </xf>
    <xf numFmtId="173" fontId="29" fillId="8" borderId="0" xfId="0" applyNumberFormat="1" applyFont="1" applyFill="1" applyAlignment="1">
      <alignment horizontal="center"/>
    </xf>
    <xf numFmtId="166" fontId="24" fillId="0" borderId="0" xfId="0" applyNumberFormat="1" applyFont="1" applyAlignment="1">
      <alignment horizontal="center"/>
    </xf>
    <xf numFmtId="173" fontId="27" fillId="0" borderId="0" xfId="0" applyNumberFormat="1" applyFont="1" applyAlignment="1">
      <alignment horizontal="center"/>
    </xf>
    <xf numFmtId="174" fontId="27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173" fontId="37" fillId="0" borderId="0" xfId="0" applyNumberFormat="1" applyFont="1" applyAlignment="1">
      <alignment horizontal="center"/>
    </xf>
    <xf numFmtId="0" fontId="38" fillId="0" borderId="0" xfId="0" applyFont="1"/>
    <xf numFmtId="0" fontId="39" fillId="9" borderId="0" xfId="0" applyFont="1" applyFill="1"/>
    <xf numFmtId="0" fontId="37" fillId="10" borderId="0" xfId="0" applyFont="1" applyFill="1"/>
    <xf numFmtId="0" fontId="37" fillId="10" borderId="0" xfId="0" applyFont="1" applyFill="1" applyAlignment="1">
      <alignment horizontal="center"/>
    </xf>
    <xf numFmtId="8" fontId="36" fillId="0" borderId="0" xfId="0" applyNumberFormat="1" applyFont="1" applyAlignment="1">
      <alignment horizontal="center"/>
    </xf>
    <xf numFmtId="0" fontId="40" fillId="0" borderId="0" xfId="0" applyFont="1"/>
    <xf numFmtId="0" fontId="41" fillId="8" borderId="0" xfId="0" applyFont="1" applyFill="1" applyAlignment="1">
      <alignment horizontal="center"/>
    </xf>
    <xf numFmtId="0" fontId="27" fillId="9" borderId="0" xfId="0" applyFont="1" applyFill="1" applyAlignment="1">
      <alignment horizontal="center"/>
    </xf>
    <xf numFmtId="1" fontId="27" fillId="9" borderId="0" xfId="0" applyNumberFormat="1" applyFont="1" applyFill="1" applyAlignment="1">
      <alignment horizontal="center"/>
    </xf>
    <xf numFmtId="0" fontId="22" fillId="9" borderId="0" xfId="0" applyFont="1" applyFill="1"/>
    <xf numFmtId="3" fontId="24" fillId="0" borderId="0" xfId="0" applyNumberFormat="1" applyFont="1"/>
    <xf numFmtId="0" fontId="42" fillId="0" borderId="0" xfId="0" applyFont="1"/>
    <xf numFmtId="165" fontId="24" fillId="0" borderId="0" xfId="0" applyNumberFormat="1" applyFont="1"/>
    <xf numFmtId="0" fontId="43" fillId="0" borderId="0" xfId="0" applyFont="1"/>
    <xf numFmtId="165" fontId="27" fillId="0" borderId="0" xfId="0" applyNumberFormat="1" applyFont="1"/>
    <xf numFmtId="0" fontId="44" fillId="9" borderId="0" xfId="0" applyFont="1" applyFill="1"/>
    <xf numFmtId="0" fontId="22" fillId="11" borderId="0" xfId="0" applyFont="1" applyFill="1"/>
    <xf numFmtId="165" fontId="22" fillId="11" borderId="0" xfId="0" applyNumberFormat="1" applyFont="1" applyFill="1"/>
    <xf numFmtId="0" fontId="27" fillId="11" borderId="0" xfId="0" applyFont="1" applyFill="1" applyAlignment="1">
      <alignment horizontal="center"/>
    </xf>
    <xf numFmtId="0" fontId="45" fillId="9" borderId="0" xfId="0" applyFont="1" applyFill="1" applyAlignment="1">
      <alignment horizontal="center"/>
    </xf>
    <xf numFmtId="0" fontId="45" fillId="10" borderId="0" xfId="0" applyFont="1" applyFill="1" applyAlignment="1">
      <alignment horizontal="center"/>
    </xf>
    <xf numFmtId="0" fontId="45" fillId="11" borderId="0" xfId="0" applyFont="1" applyFill="1" applyAlignment="1">
      <alignment horizontal="center"/>
    </xf>
    <xf numFmtId="0" fontId="46" fillId="9" borderId="0" xfId="0" applyFont="1" applyFill="1"/>
    <xf numFmtId="166" fontId="1" fillId="0" borderId="0" xfId="0" applyNumberFormat="1" applyFont="1"/>
    <xf numFmtId="165" fontId="1" fillId="0" borderId="0" xfId="0" applyNumberFormat="1" applyFont="1"/>
    <xf numFmtId="0" fontId="1" fillId="9" borderId="0" xfId="0" applyFont="1" applyFill="1"/>
    <xf numFmtId="1" fontId="0" fillId="0" borderId="0" xfId="0" applyNumberFormat="1"/>
    <xf numFmtId="1" fontId="1" fillId="0" borderId="0" xfId="0" applyNumberFormat="1" applyFont="1"/>
    <xf numFmtId="1" fontId="1" fillId="9" borderId="0" xfId="0" applyNumberFormat="1" applyFont="1" applyFill="1"/>
    <xf numFmtId="1" fontId="1" fillId="9" borderId="0" xfId="0" applyNumberFormat="1" applyFont="1" applyFill="1" applyAlignment="1">
      <alignment horizontal="center"/>
    </xf>
    <xf numFmtId="0" fontId="1" fillId="10" borderId="0" xfId="0" applyFont="1" applyFill="1"/>
    <xf numFmtId="0" fontId="1" fillId="11" borderId="0" xfId="0" applyFont="1" applyFill="1"/>
    <xf numFmtId="165" fontId="1" fillId="11" borderId="0" xfId="0" applyNumberFormat="1" applyFont="1" applyFill="1"/>
    <xf numFmtId="164" fontId="0" fillId="0" borderId="0" xfId="0" applyNumberFormat="1"/>
    <xf numFmtId="175" fontId="0" fillId="0" borderId="0" xfId="0" applyNumberFormat="1"/>
    <xf numFmtId="175" fontId="1" fillId="0" borderId="0" xfId="0" applyNumberFormat="1" applyFont="1"/>
    <xf numFmtId="175" fontId="1" fillId="11" borderId="0" xfId="0" applyNumberFormat="1" applyFont="1" applyFill="1"/>
    <xf numFmtId="0" fontId="1" fillId="9" borderId="0" xfId="0" applyFont="1" applyFill="1" applyAlignment="1">
      <alignment horizontal="center"/>
    </xf>
    <xf numFmtId="170" fontId="0" fillId="0" borderId="0" xfId="0" applyNumberFormat="1"/>
    <xf numFmtId="10" fontId="0" fillId="0" borderId="0" xfId="0" applyNumberFormat="1"/>
    <xf numFmtId="0" fontId="48" fillId="0" borderId="0" xfId="0" applyFont="1"/>
    <xf numFmtId="172" fontId="0" fillId="0" borderId="0" xfId="0" applyNumberFormat="1"/>
    <xf numFmtId="172" fontId="26" fillId="8" borderId="0" xfId="0" applyNumberFormat="1" applyFont="1" applyFill="1"/>
    <xf numFmtId="176" fontId="0" fillId="0" borderId="0" xfId="0" applyNumberFormat="1"/>
    <xf numFmtId="177" fontId="0" fillId="0" borderId="0" xfId="0" applyNumberFormat="1"/>
    <xf numFmtId="164" fontId="1" fillId="0" borderId="0" xfId="0" applyNumberFormat="1" applyFont="1"/>
    <xf numFmtId="0" fontId="0" fillId="9" borderId="0" xfId="0" applyFill="1"/>
    <xf numFmtId="0" fontId="46" fillId="0" borderId="0" xfId="0" applyFont="1"/>
    <xf numFmtId="0" fontId="53" fillId="0" borderId="0" xfId="0" applyFont="1"/>
    <xf numFmtId="0" fontId="7" fillId="8" borderId="0" xfId="0" applyFont="1" applyFill="1"/>
    <xf numFmtId="0" fontId="9" fillId="9" borderId="0" xfId="0" applyFont="1" applyFill="1"/>
    <xf numFmtId="0" fontId="7" fillId="3" borderId="0" xfId="0" applyFont="1" applyFill="1"/>
    <xf numFmtId="0" fontId="54" fillId="8" borderId="0" xfId="0" applyFont="1" applyFill="1" applyAlignment="1">
      <alignment horizontal="center"/>
    </xf>
    <xf numFmtId="1" fontId="54" fillId="8" borderId="0" xfId="0" applyNumberFormat="1" applyFont="1" applyFill="1" applyAlignment="1">
      <alignment horizontal="center"/>
    </xf>
    <xf numFmtId="164" fontId="54" fillId="8" borderId="0" xfId="0" applyNumberFormat="1" applyFont="1" applyFill="1" applyAlignment="1">
      <alignment horizontal="center"/>
    </xf>
    <xf numFmtId="0" fontId="9" fillId="10" borderId="0" xfId="0" applyFont="1" applyFill="1"/>
    <xf numFmtId="0" fontId="55" fillId="8" borderId="0" xfId="0" applyFont="1" applyFill="1"/>
    <xf numFmtId="1" fontId="55" fillId="8" borderId="0" xfId="0" applyNumberFormat="1" applyFont="1" applyFill="1"/>
    <xf numFmtId="0" fontId="7" fillId="10" borderId="0" xfId="0" applyFont="1" applyFill="1"/>
    <xf numFmtId="0" fontId="9" fillId="10" borderId="0" xfId="0" applyFont="1" applyFill="1" applyAlignment="1">
      <alignment horizontal="center"/>
    </xf>
    <xf numFmtId="0" fontId="58" fillId="0" borderId="0" xfId="0" applyFont="1"/>
    <xf numFmtId="171" fontId="55" fillId="8" borderId="0" xfId="0" applyNumberFormat="1" applyFont="1" applyFill="1"/>
    <xf numFmtId="0" fontId="59" fillId="0" borderId="0" xfId="0" applyFont="1"/>
    <xf numFmtId="165" fontId="55" fillId="8" borderId="0" xfId="0" applyNumberFormat="1" applyFont="1" applyFill="1" applyAlignment="1">
      <alignment horizontal="center"/>
    </xf>
    <xf numFmtId="3" fontId="55" fillId="8" borderId="0" xfId="0" applyNumberFormat="1" applyFont="1" applyFill="1" applyAlignment="1">
      <alignment horizontal="center"/>
    </xf>
    <xf numFmtId="9" fontId="55" fillId="8" borderId="0" xfId="0" applyNumberFormat="1" applyFont="1" applyFill="1" applyAlignment="1">
      <alignment horizontal="center"/>
    </xf>
    <xf numFmtId="164" fontId="55" fillId="8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0" fontId="55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28" fillId="8" borderId="0" xfId="0" applyNumberFormat="1" applyFont="1" applyFill="1" applyAlignment="1">
      <alignment horizontal="center"/>
    </xf>
    <xf numFmtId="164" fontId="28" fillId="8" borderId="0" xfId="0" applyNumberFormat="1" applyFont="1" applyFill="1" applyAlignment="1">
      <alignment horizontal="center"/>
    </xf>
    <xf numFmtId="164" fontId="28" fillId="8" borderId="0" xfId="0" applyNumberFormat="1" applyFont="1" applyFill="1"/>
    <xf numFmtId="9" fontId="28" fillId="8" borderId="0" xfId="0" applyNumberFormat="1" applyFont="1" applyFill="1"/>
    <xf numFmtId="0" fontId="60" fillId="0" borderId="0" xfId="0" applyFont="1"/>
    <xf numFmtId="1" fontId="55" fillId="8" borderId="0" xfId="0" applyNumberFormat="1" applyFont="1" applyFill="1" applyAlignment="1">
      <alignment horizontal="center"/>
    </xf>
    <xf numFmtId="0" fontId="61" fillId="0" borderId="0" xfId="0" applyFont="1"/>
    <xf numFmtId="0" fontId="7" fillId="0" borderId="0" xfId="0" applyFont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164" fontId="55" fillId="8" borderId="0" xfId="0" applyNumberFormat="1" applyFont="1" applyFill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56" fillId="10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9" fontId="55" fillId="8" borderId="0" xfId="0" applyNumberFormat="1" applyFont="1" applyFill="1" applyAlignment="1">
      <alignment horizontal="center" vertical="center"/>
    </xf>
    <xf numFmtId="9" fontId="54" fillId="8" borderId="0" xfId="0" applyNumberFormat="1" applyFont="1" applyFill="1" applyAlignment="1">
      <alignment horizontal="center" vertical="center"/>
    </xf>
    <xf numFmtId="3" fontId="55" fillId="8" borderId="0" xfId="0" applyNumberFormat="1" applyFont="1" applyFill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8" fillId="8" borderId="0" xfId="0" applyNumberFormat="1" applyFont="1" applyFill="1" applyAlignment="1">
      <alignment horizontal="center" vertical="center"/>
    </xf>
    <xf numFmtId="9" fontId="28" fillId="8" borderId="0" xfId="0" applyNumberFormat="1" applyFont="1" applyFill="1" applyAlignment="1">
      <alignment horizontal="center" vertical="center"/>
    </xf>
    <xf numFmtId="0" fontId="55" fillId="8" borderId="0" xfId="0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0" fontId="62" fillId="0" borderId="0" xfId="0" applyFont="1"/>
    <xf numFmtId="0" fontId="28" fillId="8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/>
    </xf>
    <xf numFmtId="178" fontId="0" fillId="0" borderId="0" xfId="0" applyNumberFormat="1"/>
    <xf numFmtId="0" fontId="1" fillId="0" borderId="0" xfId="0" applyFont="1" applyAlignment="1">
      <alignment horizontal="center"/>
    </xf>
    <xf numFmtId="0" fontId="0" fillId="11" borderId="0" xfId="0" applyFill="1"/>
    <xf numFmtId="0" fontId="63" fillId="0" borderId="0" xfId="0" applyFont="1" applyAlignment="1">
      <alignment horizontal="center"/>
    </xf>
    <xf numFmtId="0" fontId="64" fillId="10" borderId="0" xfId="0" applyFont="1" applyFill="1"/>
    <xf numFmtId="179" fontId="26" fillId="8" borderId="0" xfId="0" applyNumberFormat="1" applyFont="1" applyFill="1"/>
    <xf numFmtId="0" fontId="47" fillId="7" borderId="0" xfId="0" applyFont="1" applyFill="1"/>
    <xf numFmtId="0" fontId="65" fillId="0" borderId="0" xfId="0" applyFont="1"/>
    <xf numFmtId="0" fontId="9" fillId="10" borderId="0" xfId="0" applyFont="1" applyFill="1"/>
    <xf numFmtId="0" fontId="53" fillId="0" borderId="0" xfId="0" applyFont="1"/>
    <xf numFmtId="0" fontId="21" fillId="7" borderId="0" xfId="0" applyFont="1" applyFill="1" applyAlignment="1">
      <alignment horizontal="left" vertical="center"/>
    </xf>
    <xf numFmtId="0" fontId="9" fillId="0" borderId="0" xfId="0" applyFont="1"/>
    <xf numFmtId="0" fontId="10" fillId="7" borderId="0" xfId="0" applyFont="1" applyFill="1" applyAlignment="1">
      <alignment horizontal="left" vertical="center"/>
    </xf>
    <xf numFmtId="0" fontId="47" fillId="7" borderId="0" xfId="0" applyFont="1" applyFill="1" applyAlignment="1">
      <alignment horizontal="left" vertical="center"/>
    </xf>
  </cellXfs>
  <cellStyles count="1">
    <cellStyle name="Normal" xfId="0" builtinId="0"/>
  </cellStyles>
  <dxfs count="4"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  <wetp:taskpane dockstate="right" visibility="0" width="525" row="3">
    <wetp:webextensionref xmlns:r="http://schemas.openxmlformats.org/officeDocument/2006/relationships" r:id="rId4"/>
  </wetp:taskpane>
  <wetp:taskpane dockstate="right" visibility="0" width="525" row="3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A13F51AB-63F6-45B2-8DA9-C3885010C311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E523038-59C8-47B5-8048-194A50B41DC4}">
  <we:reference id="wa200004935" version="6.0.0.0" store="en-US" storeType="OMEX"/>
  <we:alternateReferences>
    <we:reference id="WA200004935" version="6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A4AAF431-DCE8-4461-AF2B-2C8C997455E0}">
  <we:reference id="wa200008399" version="1.0.0.4" store="en-US" storeType="OMEX"/>
  <we:alternateReferences>
    <we:reference id="WA200008399" version="1.0.0.4" store="" storeType="OMEX"/>
  </we:alternateReferences>
  <we:properties>
    <we:property name="ProjectMetadata" value="&quot;{\&quot;projectId\&quot;:18327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4.xml><?xml version="1.0" encoding="utf-8"?>
<we:webextension xmlns:we="http://schemas.microsoft.com/office/webextensions/webextension/2010/11" id="{5A868818-1087-4C35-9A11-CC4708B32BEE}">
  <we:reference id="wa200009152" version="1.0.0.3" store="en-US" storeType="OMEX"/>
  <we:alternateReferences>
    <we:reference id="wa200009152" version="1.0.0.3" store="wa20000915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5.xml><?xml version="1.0" encoding="utf-8"?>
<we:webextension xmlns:we="http://schemas.microsoft.com/office/webextensions/webextension/2010/11" id="{02DB2381-51E0-4FDC-86BE-0BB3CB92645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D2F-3B82-4D18-98C7-D0AAF538E387}">
  <sheetPr codeName="Sheet2"/>
  <dimension ref="A1:G29"/>
  <sheetViews>
    <sheetView workbookViewId="0">
      <selection activeCell="C5" sqref="C5"/>
    </sheetView>
  </sheetViews>
  <sheetFormatPr defaultColWidth="8.81640625" defaultRowHeight="14"/>
  <cols>
    <col min="1" max="1" width="26" style="7" customWidth="1"/>
    <col min="2" max="2" width="12.7265625" style="7" bestFit="1" customWidth="1"/>
    <col min="3" max="3" width="16.26953125" style="7" customWidth="1"/>
    <col min="4" max="4" width="14" style="7" bestFit="1" customWidth="1"/>
    <col min="5" max="5" width="15.26953125" style="7" bestFit="1" customWidth="1"/>
    <col min="6" max="6" width="11.7265625" style="7" bestFit="1" customWidth="1"/>
    <col min="7" max="7" width="11" style="7" bestFit="1" customWidth="1"/>
    <col min="8" max="8" width="16.453125" style="7" customWidth="1"/>
    <col min="9" max="16384" width="8.81640625" style="7"/>
  </cols>
  <sheetData>
    <row r="1" spans="1:7" ht="35" customHeight="1">
      <c r="A1" s="196" t="s">
        <v>902</v>
      </c>
      <c r="B1" s="196"/>
      <c r="C1" s="196"/>
      <c r="D1" s="196"/>
      <c r="E1" s="196"/>
      <c r="F1" s="196"/>
      <c r="G1" s="196"/>
    </row>
    <row r="2" spans="1:7" ht="14.5">
      <c r="A2"/>
      <c r="B2"/>
      <c r="C2"/>
      <c r="D2"/>
      <c r="E2"/>
      <c r="F2"/>
      <c r="G2"/>
    </row>
    <row r="3" spans="1:7" ht="14.5">
      <c r="A3" s="111" t="s">
        <v>903</v>
      </c>
      <c r="B3"/>
      <c r="C3"/>
      <c r="D3" s="111" t="s">
        <v>882</v>
      </c>
      <c r="E3"/>
      <c r="F3"/>
      <c r="G3"/>
    </row>
    <row r="4" spans="1:7" ht="14.5">
      <c r="A4" t="s">
        <v>661</v>
      </c>
      <c r="B4" s="5">
        <f>'Yearly Summary'!F4</f>
        <v>50000</v>
      </c>
      <c r="C4"/>
      <c r="D4" t="s">
        <v>905</v>
      </c>
      <c r="E4" s="120">
        <f>SUM('Income Statement'!B10:'Income Statement'!F10)</f>
        <v>28427328</v>
      </c>
      <c r="F4"/>
      <c r="G4"/>
    </row>
    <row r="5" spans="1:7" ht="14.5">
      <c r="A5" t="s">
        <v>811</v>
      </c>
      <c r="B5" s="5">
        <f>'Yearly Summary'!F9</f>
        <v>2960</v>
      </c>
      <c r="C5"/>
      <c r="D5" t="s">
        <v>906</v>
      </c>
      <c r="E5" s="124">
        <f>'Yearly Summary'!F4/'Yearly Summary'!B4</f>
        <v>100</v>
      </c>
      <c r="F5"/>
      <c r="G5"/>
    </row>
    <row r="6" spans="1:7" ht="14.5">
      <c r="A6" t="s">
        <v>904</v>
      </c>
      <c r="B6" s="5">
        <f>'Yearly Summary'!F10</f>
        <v>16000</v>
      </c>
      <c r="C6"/>
      <c r="D6" t="s">
        <v>907</v>
      </c>
      <c r="E6" s="124">
        <f>'Yearly Summary'!F9/'Yearly Summary'!B9</f>
        <v>25.739130434782609</v>
      </c>
      <c r="F6"/>
      <c r="G6"/>
    </row>
    <row r="7" spans="1:7" ht="14.5">
      <c r="A7" t="s">
        <v>1</v>
      </c>
      <c r="B7" s="120">
        <f>'Yearly Summary'!F19</f>
        <v>752129.33333333337</v>
      </c>
      <c r="C7"/>
      <c r="D7"/>
      <c r="E7"/>
      <c r="F7"/>
      <c r="G7"/>
    </row>
    <row r="8" spans="1:7" ht="14.5">
      <c r="A8" t="s">
        <v>2</v>
      </c>
      <c r="B8" s="120">
        <f>'Yearly Summary'!F20</f>
        <v>9025552</v>
      </c>
      <c r="C8"/>
      <c r="D8"/>
      <c r="E8"/>
      <c r="F8"/>
      <c r="G8"/>
    </row>
    <row r="9" spans="1:7" ht="14.5">
      <c r="A9" t="s">
        <v>3</v>
      </c>
      <c r="B9">
        <f>'Yearly Summary'!F11</f>
        <v>5.9121621621621623</v>
      </c>
      <c r="C9"/>
      <c r="D9"/>
      <c r="E9"/>
      <c r="F9"/>
      <c r="G9"/>
    </row>
    <row r="10" spans="1:7" ht="14.5">
      <c r="A10"/>
      <c r="B10"/>
      <c r="C10"/>
      <c r="D10"/>
      <c r="E10"/>
      <c r="F10"/>
      <c r="G10"/>
    </row>
    <row r="11" spans="1:7" ht="14.5">
      <c r="A11" s="111" t="s">
        <v>5</v>
      </c>
      <c r="B11"/>
      <c r="C11"/>
      <c r="D11"/>
      <c r="E11"/>
      <c r="F11"/>
      <c r="G11"/>
    </row>
    <row r="12" spans="1:7" ht="14.5">
      <c r="A12" s="116" t="s">
        <v>72</v>
      </c>
      <c r="B12" s="116" t="s">
        <v>6</v>
      </c>
      <c r="C12" s="116" t="s">
        <v>7</v>
      </c>
      <c r="D12" s="116" t="s">
        <v>8</v>
      </c>
      <c r="E12" s="116" t="s">
        <v>908</v>
      </c>
      <c r="F12" s="116" t="s">
        <v>9</v>
      </c>
      <c r="G12"/>
    </row>
    <row r="13" spans="1:7" ht="14.5">
      <c r="A13" t="s">
        <v>909</v>
      </c>
      <c r="B13" s="120">
        <f>'Unit Economics'!F11</f>
        <v>21627.553138120729</v>
      </c>
      <c r="C13" s="120">
        <f>'Unit Economics'!F7</f>
        <v>1108.1081081081081</v>
      </c>
      <c r="D13" s="124">
        <f>'Unit Economics'!F12</f>
        <v>19.51754795391383</v>
      </c>
      <c r="E13" s="4">
        <f>'Unit Economics'!F13</f>
        <v>2.7324274452108579</v>
      </c>
      <c r="F13" s="119">
        <f>'Income Statement'!F16</f>
        <v>0.88792010689480616</v>
      </c>
      <c r="G13"/>
    </row>
    <row r="14" spans="1:7" ht="14.5">
      <c r="A14" t="s">
        <v>910</v>
      </c>
      <c r="B14" s="120">
        <f>'Unit Economics'!F22</f>
        <v>1696.3178084628094</v>
      </c>
      <c r="C14" s="120">
        <f>'Unit Economics'!F18</f>
        <v>80</v>
      </c>
      <c r="D14" s="124">
        <f>'Unit Economics'!F23</f>
        <v>21.203972605785118</v>
      </c>
      <c r="E14" t="s">
        <v>64</v>
      </c>
      <c r="F14" s="119">
        <f>'Income Statement'!F16</f>
        <v>0.88792010689480616</v>
      </c>
      <c r="G14"/>
    </row>
    <row r="15" spans="1:7" ht="14.5">
      <c r="A15"/>
      <c r="B15"/>
      <c r="C15"/>
      <c r="D15"/>
      <c r="E15"/>
      <c r="F15"/>
      <c r="G15"/>
    </row>
    <row r="16" spans="1:7" ht="14.5">
      <c r="A16" s="111" t="s">
        <v>11</v>
      </c>
      <c r="B16"/>
      <c r="C16"/>
      <c r="D16"/>
      <c r="E16"/>
      <c r="F16"/>
      <c r="G16"/>
    </row>
    <row r="17" spans="1:7" ht="14.5">
      <c r="A17" s="116" t="s">
        <v>12</v>
      </c>
      <c r="B17" s="116" t="s">
        <v>32</v>
      </c>
      <c r="C17" s="116" t="s">
        <v>13</v>
      </c>
      <c r="D17" s="116" t="s">
        <v>911</v>
      </c>
      <c r="E17" s="116" t="s">
        <v>912</v>
      </c>
      <c r="F17" s="116" t="s">
        <v>913</v>
      </c>
      <c r="G17" s="116" t="s">
        <v>14</v>
      </c>
    </row>
    <row r="18" spans="1:7" ht="14.5">
      <c r="A18" s="112">
        <v>2026</v>
      </c>
      <c r="B18" s="120">
        <f>'Income Statement'!B10</f>
        <v>392253</v>
      </c>
      <c r="C18" t="s">
        <v>64</v>
      </c>
      <c r="D18" s="5">
        <f>'Yearly Summary'!B9</f>
        <v>115</v>
      </c>
      <c r="E18" s="5">
        <f>'Yearly Summary'!B4</f>
        <v>500</v>
      </c>
      <c r="F18" s="5">
        <f>'Yearly Summary'!B10</f>
        <v>140</v>
      </c>
      <c r="G18" s="120">
        <f>'Yearly Summary'!B21</f>
        <v>3410.8956521739128</v>
      </c>
    </row>
    <row r="19" spans="1:7" ht="14.5">
      <c r="A19" s="112">
        <v>2027</v>
      </c>
      <c r="B19" s="120">
        <f>'Income Statement'!C10</f>
        <v>1167859</v>
      </c>
      <c r="C19" s="119">
        <f>'Yearly Summary'!C18</f>
        <v>1.9773105623156484</v>
      </c>
      <c r="D19" s="5">
        <f>'Yearly Summary'!C9</f>
        <v>295</v>
      </c>
      <c r="E19" s="5">
        <f>'Yearly Summary'!C4</f>
        <v>2000</v>
      </c>
      <c r="F19" s="5">
        <f>'Yearly Summary'!C10</f>
        <v>630</v>
      </c>
      <c r="G19" s="120">
        <f>'Yearly Summary'!C21</f>
        <v>3958.84406779661</v>
      </c>
    </row>
    <row r="20" spans="1:7" ht="14.5">
      <c r="A20" s="112">
        <v>2028</v>
      </c>
      <c r="B20" s="120">
        <f>'Income Statement'!D10</f>
        <v>3356388</v>
      </c>
      <c r="C20" s="119">
        <f>'Yearly Summary'!D18</f>
        <v>1.8739668059243453</v>
      </c>
      <c r="D20" s="5">
        <f>'Yearly Summary'!D9</f>
        <v>740</v>
      </c>
      <c r="E20" s="5">
        <f>'Yearly Summary'!D4</f>
        <v>8000</v>
      </c>
      <c r="F20" s="5">
        <f>'Yearly Summary'!D10</f>
        <v>2500</v>
      </c>
      <c r="G20" s="120">
        <f>'Yearly Summary'!D21</f>
        <v>4535.6594594594599</v>
      </c>
    </row>
    <row r="21" spans="1:7" ht="14.5">
      <c r="A21" s="112">
        <v>2029</v>
      </c>
      <c r="B21" s="120">
        <f>'Income Statement'!E10</f>
        <v>7287776</v>
      </c>
      <c r="C21" s="119">
        <f>'Yearly Summary'!E18</f>
        <v>1.1713151161307931</v>
      </c>
      <c r="D21" s="5">
        <f>'Yearly Summary'!E9</f>
        <v>1480</v>
      </c>
      <c r="E21" s="5">
        <f>'Yearly Summary'!E4</f>
        <v>20000</v>
      </c>
      <c r="F21" s="5">
        <f>'Yearly Summary'!E10</f>
        <v>6300</v>
      </c>
      <c r="G21" s="120">
        <f>'Yearly Summary'!E21</f>
        <v>4924.1729729729732</v>
      </c>
    </row>
    <row r="22" spans="1:7" ht="14.5">
      <c r="A22" s="112">
        <v>2030</v>
      </c>
      <c r="B22" s="120">
        <f>'Income Statement'!F10</f>
        <v>16223052</v>
      </c>
      <c r="C22" s="119">
        <f>'Yearly Summary'!F18</f>
        <v>1.2260634794483256</v>
      </c>
      <c r="D22" s="5">
        <f>'Yearly Summary'!F9</f>
        <v>2960</v>
      </c>
      <c r="E22" s="5">
        <f>'Yearly Summary'!F4</f>
        <v>50000</v>
      </c>
      <c r="F22" s="5">
        <f>'Yearly Summary'!F10</f>
        <v>16000</v>
      </c>
      <c r="G22" s="120">
        <f>'Yearly Summary'!F21</f>
        <v>5480.7608108108107</v>
      </c>
    </row>
    <row r="23" spans="1:7" ht="14.5">
      <c r="A23"/>
      <c r="B23"/>
      <c r="C23"/>
      <c r="D23"/>
      <c r="E23"/>
      <c r="F23"/>
      <c r="G23"/>
    </row>
    <row r="24" spans="1:7" ht="14.5">
      <c r="A24" s="111" t="s">
        <v>914</v>
      </c>
      <c r="B24"/>
      <c r="C24"/>
      <c r="D24"/>
      <c r="E24"/>
      <c r="F24"/>
      <c r="G24"/>
    </row>
    <row r="25" spans="1:7" ht="14.5">
      <c r="A25" s="116" t="s">
        <v>20</v>
      </c>
      <c r="B25" s="116" t="s">
        <v>915</v>
      </c>
      <c r="C25" s="116" t="s">
        <v>21</v>
      </c>
      <c r="D25" s="116" t="s">
        <v>916</v>
      </c>
      <c r="E25"/>
      <c r="F25"/>
      <c r="G25"/>
    </row>
    <row r="26" spans="1:7" ht="14.5">
      <c r="A26" t="s">
        <v>22</v>
      </c>
      <c r="B26" s="120">
        <f>Scenario_Analysis!B35</f>
        <v>3790731.84</v>
      </c>
      <c r="C26" s="120">
        <f>Scenario_Analysis!B34</f>
        <v>9551582.2080000006</v>
      </c>
      <c r="D26" s="120">
        <f>Scenario_Analysis!B36</f>
        <v>37907318.399999999</v>
      </c>
      <c r="E26"/>
      <c r="F26"/>
      <c r="G26"/>
    </row>
    <row r="27" spans="1:7" ht="14.5">
      <c r="A27" t="s">
        <v>23</v>
      </c>
      <c r="B27" s="120">
        <f>Scenario_Analysis!C35</f>
        <v>9025552</v>
      </c>
      <c r="C27" s="120">
        <f>Scenario_Analysis!C34</f>
        <v>28427328</v>
      </c>
      <c r="D27" s="120">
        <f>Scenario_Analysis!C36</f>
        <v>90255520</v>
      </c>
      <c r="E27"/>
      <c r="F27"/>
      <c r="G27"/>
    </row>
    <row r="28" spans="1:7" ht="14.5">
      <c r="A28" t="s">
        <v>24</v>
      </c>
      <c r="B28" s="120">
        <f>Scenario_Analysis!D35</f>
        <v>16426504.639999999</v>
      </c>
      <c r="C28" s="120">
        <f>Scenario_Analysis!D34</f>
        <v>62085284.351999991</v>
      </c>
      <c r="D28" s="120">
        <f>Scenario_Analysis!D36</f>
        <v>164265046.39999998</v>
      </c>
      <c r="E28"/>
      <c r="F28"/>
      <c r="G28"/>
    </row>
    <row r="29" spans="1:7" ht="14.5">
      <c r="A29" s="191" t="s">
        <v>979</v>
      </c>
      <c r="B29" s="3">
        <f>Scenario_Analysis!E35</f>
        <v>1353832.8</v>
      </c>
      <c r="C29" s="3">
        <f>Scenario_Analysis!E34</f>
        <v>2558459.52</v>
      </c>
      <c r="D29" s="3">
        <f>Scenario_Analysis!E36</f>
        <v>13538328</v>
      </c>
      <c r="E29"/>
      <c r="F29"/>
      <c r="G29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ECE3-BCE2-48BD-A50D-BB0A79A8287F}">
  <sheetPr>
    <tabColor rgb="FF92D050"/>
    <pageSetUpPr fitToPage="1"/>
  </sheetPr>
  <dimension ref="A1:I113"/>
  <sheetViews>
    <sheetView tabSelected="1" topLeftCell="A12" workbookViewId="0">
      <selection activeCell="F32" sqref="F32"/>
    </sheetView>
  </sheetViews>
  <sheetFormatPr defaultRowHeight="14.5"/>
  <cols>
    <col min="1" max="1" width="40" customWidth="1"/>
    <col min="2" max="2" width="18.26953125" style="155" customWidth="1"/>
    <col min="3" max="3" width="21.08984375" style="175" customWidth="1"/>
    <col min="4" max="4" width="23.6328125" customWidth="1"/>
    <col min="5" max="5" width="21.54296875" customWidth="1"/>
    <col min="6" max="6" width="18.1796875" customWidth="1"/>
    <col min="7" max="8" width="6" customWidth="1"/>
    <col min="9" max="9" width="5.08984375" customWidth="1"/>
  </cols>
  <sheetData>
    <row r="1" spans="1:8" ht="35" customHeight="1">
      <c r="A1" s="194" t="s">
        <v>404</v>
      </c>
      <c r="B1" s="194"/>
      <c r="C1" s="194"/>
      <c r="D1" s="194"/>
      <c r="E1" s="194"/>
      <c r="F1" s="194"/>
      <c r="G1" s="194"/>
      <c r="H1" s="194"/>
    </row>
    <row r="2" spans="1:8" s="12" customFormat="1" ht="16">
      <c r="A2" s="134" t="s">
        <v>405</v>
      </c>
      <c r="B2" s="15"/>
      <c r="C2" s="163"/>
      <c r="H2" s="135" t="s">
        <v>406</v>
      </c>
    </row>
    <row r="3" spans="1:8" s="12" customFormat="1" ht="16">
      <c r="A3" s="136" t="s">
        <v>407</v>
      </c>
      <c r="B3" s="15"/>
      <c r="C3" s="163"/>
      <c r="H3" s="137" t="s">
        <v>408</v>
      </c>
    </row>
    <row r="4" spans="1:8" s="12" customFormat="1" ht="16">
      <c r="A4" s="12" t="s">
        <v>409</v>
      </c>
      <c r="B4" s="138" t="s">
        <v>410</v>
      </c>
      <c r="C4" s="163"/>
      <c r="E4" s="12" t="s">
        <v>411</v>
      </c>
      <c r="F4" s="138" t="s">
        <v>966</v>
      </c>
      <c r="G4"/>
      <c r="H4"/>
    </row>
    <row r="5" spans="1:8" s="12" customFormat="1" ht="16">
      <c r="A5" s="12" t="s">
        <v>412</v>
      </c>
      <c r="B5" s="139">
        <v>2026</v>
      </c>
      <c r="C5" s="163"/>
      <c r="E5" s="12" t="s">
        <v>413</v>
      </c>
      <c r="F5" s="138" t="s">
        <v>414</v>
      </c>
      <c r="G5" s="42"/>
      <c r="H5" s="42"/>
    </row>
    <row r="6" spans="1:8" s="12" customFormat="1" ht="16">
      <c r="A6" s="12" t="s">
        <v>415</v>
      </c>
      <c r="B6" s="138" t="s">
        <v>416</v>
      </c>
      <c r="C6" s="163"/>
      <c r="E6" s="12" t="s">
        <v>80</v>
      </c>
      <c r="F6" s="140">
        <v>0.21</v>
      </c>
      <c r="G6" s="42"/>
      <c r="H6" s="42"/>
    </row>
    <row r="7" spans="1:8" s="12" customFormat="1" ht="16">
      <c r="A7" s="12" t="s">
        <v>417</v>
      </c>
      <c r="B7" s="140">
        <v>0.8</v>
      </c>
      <c r="C7" s="163"/>
    </row>
    <row r="8" spans="1:8" s="12" customFormat="1" ht="16">
      <c r="B8" s="15"/>
      <c r="C8" s="163"/>
    </row>
    <row r="9" spans="1:8" s="12" customFormat="1" ht="16">
      <c r="A9" s="136" t="s">
        <v>418</v>
      </c>
      <c r="B9" s="15"/>
      <c r="C9" s="163"/>
    </row>
    <row r="10" spans="1:8" s="12" customFormat="1" ht="16">
      <c r="A10" s="42" t="s">
        <v>419</v>
      </c>
      <c r="B10" s="15"/>
      <c r="C10" s="163"/>
    </row>
    <row r="11" spans="1:8" s="12" customFormat="1" ht="16">
      <c r="A11" s="141" t="s">
        <v>420</v>
      </c>
      <c r="B11" s="145" t="s">
        <v>421</v>
      </c>
      <c r="C11" s="164" t="s">
        <v>422</v>
      </c>
      <c r="D11" s="192" t="s">
        <v>63</v>
      </c>
      <c r="E11" s="192"/>
    </row>
    <row r="12" spans="1:8" s="12" customFormat="1" ht="16">
      <c r="A12" s="12" t="s">
        <v>423</v>
      </c>
      <c r="B12" s="149">
        <v>0</v>
      </c>
      <c r="C12" s="165">
        <v>0</v>
      </c>
      <c r="D12" s="193" t="s">
        <v>424</v>
      </c>
      <c r="E12" s="193"/>
    </row>
    <row r="13" spans="1:8" s="12" customFormat="1" ht="16">
      <c r="A13" s="12" t="s">
        <v>425</v>
      </c>
      <c r="B13" s="149">
        <v>2500</v>
      </c>
      <c r="C13" s="165">
        <v>0.08</v>
      </c>
      <c r="D13" s="193" t="s">
        <v>426</v>
      </c>
      <c r="E13" s="193"/>
    </row>
    <row r="14" spans="1:8" s="12" customFormat="1" ht="16">
      <c r="A14" s="12" t="s">
        <v>427</v>
      </c>
      <c r="B14" s="149">
        <v>5000</v>
      </c>
      <c r="C14" s="165">
        <v>0.1</v>
      </c>
      <c r="D14" s="193" t="s">
        <v>428</v>
      </c>
      <c r="E14" s="193"/>
    </row>
    <row r="15" spans="1:8" s="12" customFormat="1" ht="16">
      <c r="A15" s="12" t="s">
        <v>429</v>
      </c>
      <c r="B15" s="149">
        <v>3500</v>
      </c>
      <c r="C15" s="165">
        <v>0.09</v>
      </c>
      <c r="D15" s="193" t="s">
        <v>430</v>
      </c>
      <c r="E15" s="193"/>
    </row>
    <row r="16" spans="1:8" s="12" customFormat="1" ht="16">
      <c r="A16" s="12" t="s">
        <v>431</v>
      </c>
      <c r="B16" s="149">
        <v>1200</v>
      </c>
      <c r="C16" s="165">
        <v>0.05</v>
      </c>
      <c r="D16" s="193" t="s">
        <v>432</v>
      </c>
      <c r="E16" s="193"/>
    </row>
    <row r="18" spans="1:9" s="12" customFormat="1" ht="16">
      <c r="A18" s="42" t="s">
        <v>433</v>
      </c>
      <c r="B18" s="15"/>
      <c r="C18" s="166">
        <f>AVERAGE(C12:C16)</f>
        <v>6.4000000000000001E-2</v>
      </c>
      <c r="D18" s="134" t="s">
        <v>434</v>
      </c>
    </row>
    <row r="19" spans="1:9" s="12" customFormat="1" ht="16">
      <c r="B19" s="15"/>
      <c r="C19" s="163"/>
    </row>
    <row r="20" spans="1:9" s="12" customFormat="1" ht="16">
      <c r="A20" s="42" t="s">
        <v>435</v>
      </c>
      <c r="B20" s="15"/>
      <c r="C20" s="163"/>
    </row>
    <row r="21" spans="1:9" s="12" customFormat="1" ht="16">
      <c r="A21" s="141" t="s">
        <v>65</v>
      </c>
      <c r="B21" s="145" t="s">
        <v>436</v>
      </c>
      <c r="C21" s="167" t="s">
        <v>438</v>
      </c>
      <c r="D21" s="145" t="s">
        <v>439</v>
      </c>
      <c r="E21" s="192" t="s">
        <v>437</v>
      </c>
      <c r="F21" s="192"/>
      <c r="G21" s="192"/>
      <c r="H21" s="192"/>
      <c r="I21" s="192"/>
    </row>
    <row r="22" spans="1:9" s="12" customFormat="1" ht="16">
      <c r="A22" s="12" t="s">
        <v>375</v>
      </c>
      <c r="B22" s="149">
        <v>0</v>
      </c>
      <c r="C22" s="163" t="s">
        <v>441</v>
      </c>
      <c r="D22" s="154">
        <v>12</v>
      </c>
      <c r="E22" s="193" t="s">
        <v>440</v>
      </c>
      <c r="F22" s="193"/>
      <c r="G22" s="193"/>
      <c r="H22" s="193"/>
      <c r="I22" s="193"/>
    </row>
    <row r="23" spans="1:9" s="12" customFormat="1" ht="16">
      <c r="A23" s="12" t="s">
        <v>442</v>
      </c>
      <c r="B23" s="149">
        <v>149</v>
      </c>
      <c r="C23" s="168" t="s">
        <v>444</v>
      </c>
      <c r="D23" s="154">
        <v>10</v>
      </c>
      <c r="E23" s="193" t="s">
        <v>443</v>
      </c>
      <c r="F23" s="193"/>
      <c r="G23" s="193"/>
      <c r="H23" s="193"/>
      <c r="I23" s="193"/>
    </row>
    <row r="24" spans="1:9" s="12" customFormat="1" ht="16">
      <c r="A24" s="12" t="s">
        <v>445</v>
      </c>
      <c r="B24" s="149">
        <v>399</v>
      </c>
      <c r="C24" s="168" t="s">
        <v>444</v>
      </c>
      <c r="D24" s="154">
        <v>11</v>
      </c>
      <c r="E24" s="193" t="s">
        <v>446</v>
      </c>
      <c r="F24" s="193"/>
      <c r="G24" s="193"/>
      <c r="H24" s="193"/>
      <c r="I24" s="193"/>
    </row>
    <row r="25" spans="1:9" s="12" customFormat="1" ht="16">
      <c r="A25" s="12" t="s">
        <v>447</v>
      </c>
      <c r="B25" s="149">
        <v>999</v>
      </c>
      <c r="C25" s="168" t="s">
        <v>444</v>
      </c>
      <c r="D25" s="154">
        <v>12</v>
      </c>
      <c r="E25" s="193" t="s">
        <v>448</v>
      </c>
      <c r="F25" s="193"/>
      <c r="G25" s="193"/>
      <c r="H25" s="193"/>
      <c r="I25" s="193"/>
    </row>
    <row r="26" spans="1:9" s="12" customFormat="1" ht="16">
      <c r="B26" s="15"/>
      <c r="C26" s="163"/>
    </row>
    <row r="27" spans="1:9" s="12" customFormat="1" ht="16">
      <c r="A27" s="12" t="s">
        <v>449</v>
      </c>
      <c r="B27" s="161">
        <v>2</v>
      </c>
      <c r="C27" s="169" t="s">
        <v>450</v>
      </c>
      <c r="E27" s="12" t="s">
        <v>451</v>
      </c>
      <c r="F27" s="143">
        <v>0</v>
      </c>
      <c r="G27" s="134" t="s">
        <v>932</v>
      </c>
    </row>
    <row r="28" spans="1:9" s="12" customFormat="1" ht="16">
      <c r="B28" s="15"/>
      <c r="C28" s="163"/>
    </row>
    <row r="29" spans="1:9" s="12" customFormat="1" ht="16">
      <c r="A29" s="42" t="s">
        <v>452</v>
      </c>
      <c r="B29" s="15"/>
      <c r="C29" s="163"/>
    </row>
    <row r="30" spans="1:9" s="12" customFormat="1" ht="16">
      <c r="A30" s="141" t="s">
        <v>453</v>
      </c>
      <c r="B30" s="145" t="s">
        <v>436</v>
      </c>
      <c r="C30" s="164" t="s">
        <v>455</v>
      </c>
      <c r="D30" s="192" t="s">
        <v>454</v>
      </c>
      <c r="E30" s="192"/>
    </row>
    <row r="31" spans="1:9" s="12" customFormat="1" ht="16">
      <c r="A31" s="12" t="s">
        <v>456</v>
      </c>
      <c r="B31" s="149">
        <v>99</v>
      </c>
      <c r="C31" s="170">
        <v>0.15</v>
      </c>
      <c r="D31" s="193" t="s">
        <v>457</v>
      </c>
      <c r="E31" s="193"/>
    </row>
    <row r="32" spans="1:9" s="12" customFormat="1" ht="16">
      <c r="A32" s="12" t="s">
        <v>458</v>
      </c>
      <c r="B32" s="149">
        <v>49</v>
      </c>
      <c r="C32" s="170">
        <v>0.15</v>
      </c>
      <c r="D32" s="193" t="s">
        <v>459</v>
      </c>
      <c r="E32" s="193"/>
    </row>
    <row r="33" spans="1:6" s="12" customFormat="1" ht="16">
      <c r="A33" s="12" t="s">
        <v>460</v>
      </c>
      <c r="B33" s="149">
        <v>199</v>
      </c>
      <c r="C33" s="170">
        <v>0.15</v>
      </c>
      <c r="D33" s="193" t="s">
        <v>461</v>
      </c>
      <c r="E33" s="193"/>
    </row>
    <row r="34" spans="1:6" s="12" customFormat="1" ht="16">
      <c r="A34" s="195" t="s">
        <v>462</v>
      </c>
      <c r="B34" s="195"/>
      <c r="C34" s="171">
        <v>0.15</v>
      </c>
      <c r="D34" s="193" t="s">
        <v>463</v>
      </c>
      <c r="E34" s="193"/>
    </row>
    <row r="35" spans="1:6" s="12" customFormat="1" ht="16">
      <c r="B35" s="15"/>
      <c r="C35" s="163"/>
    </row>
    <row r="36" spans="1:6" s="12" customFormat="1" ht="16">
      <c r="A36" s="136" t="s">
        <v>464</v>
      </c>
      <c r="B36" s="15"/>
      <c r="C36" s="163"/>
    </row>
    <row r="37" spans="1:6" s="12" customFormat="1" ht="16">
      <c r="A37" s="42" t="s">
        <v>465</v>
      </c>
      <c r="B37" s="15"/>
      <c r="C37" s="163"/>
    </row>
    <row r="38" spans="1:6" s="12" customFormat="1" ht="16">
      <c r="A38" s="144"/>
      <c r="B38" s="145" t="s">
        <v>370</v>
      </c>
      <c r="C38" s="164" t="s">
        <v>371</v>
      </c>
      <c r="D38" s="145" t="s">
        <v>372</v>
      </c>
      <c r="E38" s="145" t="s">
        <v>373</v>
      </c>
      <c r="F38" s="145" t="s">
        <v>374</v>
      </c>
    </row>
    <row r="39" spans="1:6" s="12" customFormat="1" ht="16">
      <c r="A39" s="12" t="s">
        <v>466</v>
      </c>
      <c r="B39" s="149">
        <v>25</v>
      </c>
      <c r="C39" s="169">
        <v>30</v>
      </c>
      <c r="D39" s="15">
        <v>40</v>
      </c>
      <c r="E39" s="15">
        <v>60</v>
      </c>
      <c r="F39" s="15">
        <v>80</v>
      </c>
    </row>
    <row r="40" spans="1:6" s="12" customFormat="1" ht="16">
      <c r="A40" s="12" t="s">
        <v>467</v>
      </c>
      <c r="B40" s="150">
        <v>500</v>
      </c>
      <c r="C40" s="172">
        <v>2000</v>
      </c>
      <c r="D40" s="150">
        <v>8000</v>
      </c>
      <c r="E40" s="150">
        <v>20000</v>
      </c>
      <c r="F40" s="150">
        <v>50000</v>
      </c>
    </row>
    <row r="41" spans="1:6" s="12" customFormat="1" ht="16">
      <c r="A41" s="12" t="s">
        <v>468</v>
      </c>
      <c r="B41" s="151">
        <v>0.15</v>
      </c>
      <c r="C41" s="170">
        <v>0.2</v>
      </c>
      <c r="D41" s="151">
        <v>0.25</v>
      </c>
      <c r="E41" s="151">
        <v>0.3</v>
      </c>
      <c r="F41" s="151">
        <v>0.35</v>
      </c>
    </row>
    <row r="42" spans="1:6" s="12" customFormat="1" ht="16">
      <c r="A42" s="146"/>
      <c r="B42" s="15"/>
      <c r="C42" s="163"/>
      <c r="D42" s="15"/>
      <c r="E42" s="15"/>
      <c r="F42" s="15"/>
    </row>
    <row r="43" spans="1:6" s="12" customFormat="1" ht="16">
      <c r="A43" s="146" t="s">
        <v>547</v>
      </c>
      <c r="B43" s="15" t="s">
        <v>64</v>
      </c>
      <c r="C43" s="163">
        <v>0.12</v>
      </c>
      <c r="D43" s="15">
        <v>0.15</v>
      </c>
      <c r="E43" s="15">
        <v>0.18</v>
      </c>
      <c r="F43" s="15">
        <v>0.2</v>
      </c>
    </row>
    <row r="44" spans="1:6" s="12" customFormat="1" ht="16">
      <c r="A44" s="146" t="s">
        <v>469</v>
      </c>
      <c r="B44" s="15"/>
      <c r="C44" s="163"/>
    </row>
    <row r="45" spans="1:6" s="12" customFormat="1" ht="16">
      <c r="B45" s="15"/>
      <c r="C45" s="163"/>
    </row>
    <row r="46" spans="1:6" s="12" customFormat="1" ht="16">
      <c r="A46" s="42" t="s">
        <v>470</v>
      </c>
      <c r="B46" s="15"/>
      <c r="C46" s="163"/>
    </row>
    <row r="47" spans="1:6" s="12" customFormat="1" ht="16">
      <c r="A47" s="141" t="s">
        <v>471</v>
      </c>
      <c r="B47" s="145" t="s">
        <v>472</v>
      </c>
      <c r="C47" s="163"/>
    </row>
    <row r="48" spans="1:6" s="12" customFormat="1" ht="16">
      <c r="A48" s="12" t="s">
        <v>473</v>
      </c>
      <c r="B48" s="149">
        <v>800</v>
      </c>
      <c r="C48" s="163"/>
    </row>
    <row r="49" spans="1:6" s="12" customFormat="1" ht="16">
      <c r="A49" s="12" t="s">
        <v>474</v>
      </c>
      <c r="B49" s="149">
        <v>1500</v>
      </c>
      <c r="C49" s="163"/>
    </row>
    <row r="50" spans="1:6" s="12" customFormat="1" ht="16">
      <c r="A50" s="12" t="s">
        <v>475</v>
      </c>
      <c r="B50" s="149">
        <v>3000</v>
      </c>
      <c r="C50" s="163"/>
    </row>
    <row r="51" spans="1:6" s="12" customFormat="1" ht="16">
      <c r="A51" s="141" t="s">
        <v>476</v>
      </c>
      <c r="B51" s="145" t="s">
        <v>26</v>
      </c>
      <c r="C51" s="164" t="s">
        <v>27</v>
      </c>
      <c r="D51" s="145" t="s">
        <v>28</v>
      </c>
      <c r="E51" s="145" t="s">
        <v>29</v>
      </c>
      <c r="F51" s="145" t="s">
        <v>30</v>
      </c>
    </row>
    <row r="52" spans="1:6" s="12" customFormat="1" ht="16">
      <c r="A52" s="12" t="s">
        <v>473</v>
      </c>
      <c r="B52" s="150">
        <v>80</v>
      </c>
      <c r="C52" s="172">
        <v>200</v>
      </c>
      <c r="D52" s="150">
        <v>500</v>
      </c>
      <c r="E52" s="150">
        <v>1000</v>
      </c>
      <c r="F52" s="150">
        <v>2000</v>
      </c>
    </row>
    <row r="53" spans="1:6" s="12" customFormat="1" ht="16">
      <c r="A53" s="12" t="s">
        <v>474</v>
      </c>
      <c r="B53" s="150">
        <v>30</v>
      </c>
      <c r="C53" s="172">
        <v>80</v>
      </c>
      <c r="D53" s="150">
        <v>200</v>
      </c>
      <c r="E53" s="150">
        <v>400</v>
      </c>
      <c r="F53" s="150">
        <v>800</v>
      </c>
    </row>
    <row r="54" spans="1:6" s="12" customFormat="1" ht="16">
      <c r="A54" s="12" t="s">
        <v>475</v>
      </c>
      <c r="B54" s="150">
        <v>5</v>
      </c>
      <c r="C54" s="172">
        <v>15</v>
      </c>
      <c r="D54" s="150">
        <v>40</v>
      </c>
      <c r="E54" s="150">
        <v>80</v>
      </c>
      <c r="F54" s="150">
        <v>160</v>
      </c>
    </row>
    <row r="55" spans="1:6" s="12" customFormat="1" ht="16">
      <c r="B55" s="15"/>
      <c r="C55" s="163"/>
    </row>
    <row r="56" spans="1:6" s="12" customFormat="1" ht="16">
      <c r="A56" s="136" t="s">
        <v>477</v>
      </c>
      <c r="B56" s="15"/>
      <c r="C56" s="163"/>
    </row>
    <row r="57" spans="1:6" s="12" customFormat="1" ht="16">
      <c r="A57" s="141"/>
      <c r="B57" s="145" t="s">
        <v>478</v>
      </c>
      <c r="C57" s="164" t="s">
        <v>479</v>
      </c>
      <c r="D57" s="145" t="s">
        <v>480</v>
      </c>
    </row>
    <row r="58" spans="1:6" s="12" customFormat="1" ht="16">
      <c r="A58" s="12" t="s">
        <v>481</v>
      </c>
      <c r="B58" s="152">
        <v>0.02</v>
      </c>
      <c r="C58" s="173">
        <f>1-(1-B58)^12</f>
        <v>0.21528327626520027</v>
      </c>
      <c r="D58" s="180">
        <f>1/C58</f>
        <v>4.6450426496117299</v>
      </c>
    </row>
    <row r="59" spans="1:6" s="12" customFormat="1" ht="16">
      <c r="A59" s="12" t="s">
        <v>482</v>
      </c>
      <c r="B59" s="152">
        <v>2.5000000000000001E-2</v>
      </c>
      <c r="C59" s="173">
        <f>1-(1-B59)^12</f>
        <v>0.26200165417334909</v>
      </c>
      <c r="D59" s="180">
        <f>1/C59</f>
        <v>3.8167697954241406</v>
      </c>
      <c r="E59" s="134" t="s">
        <v>483</v>
      </c>
    </row>
    <row r="60" spans="1:6" s="12" customFormat="1" ht="16">
      <c r="A60" s="12" t="s">
        <v>484</v>
      </c>
      <c r="B60" s="152">
        <v>1.4999999999999999E-2</v>
      </c>
      <c r="C60" s="173">
        <f>1-(1-B60)^12</f>
        <v>0.16586803165912289</v>
      </c>
      <c r="D60" s="180">
        <f>1/C60</f>
        <v>6.0288892922724875</v>
      </c>
    </row>
    <row r="61" spans="1:6" s="12" customFormat="1" ht="16">
      <c r="A61" s="12" t="s">
        <v>485</v>
      </c>
      <c r="B61" s="152">
        <v>5.0000000000000001E-3</v>
      </c>
      <c r="C61" s="173">
        <f>1-(1-B61)^12</f>
        <v>5.8377193085624057E-2</v>
      </c>
      <c r="D61" s="180">
        <f>1/C61</f>
        <v>17.129977430282779</v>
      </c>
    </row>
    <row r="62" spans="1:6" s="12" customFormat="1" ht="16">
      <c r="B62" s="15"/>
      <c r="C62" s="163"/>
    </row>
    <row r="63" spans="1:6" s="12" customFormat="1" ht="16">
      <c r="A63" s="136" t="s">
        <v>486</v>
      </c>
      <c r="B63" s="15"/>
      <c r="C63" s="163"/>
    </row>
    <row r="64" spans="1:6" s="12" customFormat="1" ht="16">
      <c r="A64" s="141" t="s">
        <v>487</v>
      </c>
      <c r="B64" s="145" t="s">
        <v>26</v>
      </c>
      <c r="C64" s="164" t="s">
        <v>27</v>
      </c>
      <c r="D64" s="145" t="s">
        <v>28</v>
      </c>
      <c r="E64" s="145" t="s">
        <v>29</v>
      </c>
      <c r="F64" s="145" t="s">
        <v>30</v>
      </c>
    </row>
    <row r="65" spans="1:6" s="12" customFormat="1" ht="16">
      <c r="A65" s="12" t="s">
        <v>488</v>
      </c>
      <c r="B65" s="150">
        <v>50</v>
      </c>
      <c r="C65" s="172">
        <v>200</v>
      </c>
      <c r="D65" s="150">
        <v>800</v>
      </c>
      <c r="E65" s="150">
        <v>2000</v>
      </c>
      <c r="F65" s="150">
        <v>5000</v>
      </c>
    </row>
    <row r="66" spans="1:6" s="12" customFormat="1" ht="16">
      <c r="A66" s="12" t="s">
        <v>489</v>
      </c>
      <c r="B66" s="150">
        <v>30</v>
      </c>
      <c r="C66" s="172">
        <v>150</v>
      </c>
      <c r="D66" s="150">
        <v>600</v>
      </c>
      <c r="E66" s="150">
        <v>1500</v>
      </c>
      <c r="F66" s="150">
        <v>4000</v>
      </c>
    </row>
    <row r="67" spans="1:6" s="12" customFormat="1" ht="16">
      <c r="A67" s="12" t="s">
        <v>366</v>
      </c>
      <c r="B67" s="150">
        <v>40</v>
      </c>
      <c r="C67" s="172">
        <v>180</v>
      </c>
      <c r="D67" s="150">
        <v>700</v>
      </c>
      <c r="E67" s="150">
        <v>1800</v>
      </c>
      <c r="F67" s="150">
        <v>4500</v>
      </c>
    </row>
    <row r="68" spans="1:6" s="12" customFormat="1" ht="16">
      <c r="A68" s="12" t="s">
        <v>490</v>
      </c>
      <c r="B68" s="150">
        <v>20</v>
      </c>
      <c r="C68" s="172">
        <v>100</v>
      </c>
      <c r="D68" s="150">
        <v>400</v>
      </c>
      <c r="E68" s="150">
        <v>1000</v>
      </c>
      <c r="F68" s="150">
        <v>2500</v>
      </c>
    </row>
    <row r="69" spans="1:6" s="12" customFormat="1" ht="16">
      <c r="A69" s="42" t="s">
        <v>491</v>
      </c>
      <c r="B69" s="153">
        <f>SUM(B65:B68)</f>
        <v>140</v>
      </c>
      <c r="C69" s="174">
        <f>SUM(C65:C68)</f>
        <v>630</v>
      </c>
      <c r="D69" s="153">
        <f>SUM(D65:D68)</f>
        <v>2500</v>
      </c>
      <c r="E69" s="153">
        <f>SUM(E65:E68)</f>
        <v>6300</v>
      </c>
      <c r="F69" s="153">
        <f>SUM(F65:F68)</f>
        <v>16000</v>
      </c>
    </row>
    <row r="70" spans="1:6" s="12" customFormat="1" ht="16">
      <c r="B70" s="15"/>
      <c r="C70" s="163"/>
    </row>
    <row r="71" spans="1:6" s="12" customFormat="1" ht="16">
      <c r="A71" s="12" t="s">
        <v>492</v>
      </c>
      <c r="B71" s="150">
        <v>4</v>
      </c>
      <c r="C71" s="169" t="s">
        <v>493</v>
      </c>
    </row>
    <row r="72" spans="1:6" s="12" customFormat="1" ht="16">
      <c r="B72" s="15"/>
      <c r="C72" s="163"/>
    </row>
    <row r="73" spans="1:6" s="12" customFormat="1" ht="16">
      <c r="A73" s="136" t="s">
        <v>494</v>
      </c>
      <c r="B73" s="15"/>
      <c r="C73" s="163"/>
    </row>
    <row r="74" spans="1:6" s="12" customFormat="1" ht="16">
      <c r="A74" s="141" t="s">
        <v>495</v>
      </c>
      <c r="B74" s="145" t="s">
        <v>496</v>
      </c>
      <c r="C74" s="163"/>
    </row>
    <row r="75" spans="1:6" s="12" customFormat="1" ht="16">
      <c r="A75" s="12" t="s">
        <v>62</v>
      </c>
      <c r="B75" s="151">
        <v>0.1</v>
      </c>
      <c r="C75" s="163"/>
    </row>
    <row r="76" spans="1:6" s="12" customFormat="1" ht="16">
      <c r="A76" s="12" t="s">
        <v>497</v>
      </c>
      <c r="B76" s="151">
        <v>0.18</v>
      </c>
      <c r="C76" s="163"/>
    </row>
    <row r="77" spans="1:6" s="12" customFormat="1" ht="16">
      <c r="A77" s="12" t="s">
        <v>498</v>
      </c>
      <c r="B77" s="151">
        <v>0.25</v>
      </c>
      <c r="C77" s="163"/>
    </row>
    <row r="78" spans="1:6" s="12" customFormat="1" ht="16">
      <c r="A78" s="12" t="s">
        <v>499</v>
      </c>
      <c r="B78" s="151">
        <v>0.3</v>
      </c>
      <c r="C78" s="163"/>
    </row>
    <row r="79" spans="1:6" s="12" customFormat="1" ht="16">
      <c r="A79" s="12" t="s">
        <v>500</v>
      </c>
      <c r="B79" s="151">
        <v>0.32</v>
      </c>
      <c r="C79" s="163"/>
    </row>
    <row r="80" spans="1:6" s="12" customFormat="1" ht="16">
      <c r="A80" s="12" t="s">
        <v>501</v>
      </c>
      <c r="B80" s="151">
        <v>0.35</v>
      </c>
      <c r="C80" s="163"/>
    </row>
    <row r="82" spans="1:7" s="12" customFormat="1" ht="16">
      <c r="A82" s="136" t="s">
        <v>502</v>
      </c>
      <c r="B82" s="15"/>
      <c r="C82" s="163"/>
    </row>
    <row r="83" spans="1:7" s="12" customFormat="1" ht="16">
      <c r="A83" s="141" t="s">
        <v>66</v>
      </c>
      <c r="B83" s="145" t="s">
        <v>59</v>
      </c>
      <c r="C83" s="164" t="s">
        <v>63</v>
      </c>
    </row>
    <row r="84" spans="1:7" s="12" customFormat="1" ht="16">
      <c r="A84" s="12" t="s">
        <v>81</v>
      </c>
      <c r="B84" s="154">
        <v>45</v>
      </c>
      <c r="C84" s="163"/>
    </row>
    <row r="85" spans="1:7" s="12" customFormat="1" ht="16">
      <c r="A85" s="12" t="s">
        <v>82</v>
      </c>
      <c r="B85" s="154">
        <v>30</v>
      </c>
      <c r="C85" s="163"/>
    </row>
    <row r="86" spans="1:7" s="12" customFormat="1" ht="16">
      <c r="A86" s="12" t="s">
        <v>83</v>
      </c>
      <c r="B86" s="154">
        <v>3</v>
      </c>
      <c r="C86" s="169" t="s">
        <v>503</v>
      </c>
    </row>
    <row r="87" spans="1:7" s="12" customFormat="1" ht="16">
      <c r="A87" s="12" t="s">
        <v>90</v>
      </c>
      <c r="B87" s="151">
        <v>0.05</v>
      </c>
      <c r="C87" s="163"/>
    </row>
    <row r="88" spans="1:7" s="12" customFormat="1" ht="16">
      <c r="A88" s="12" t="s">
        <v>91</v>
      </c>
      <c r="B88" s="151">
        <v>0.08</v>
      </c>
      <c r="C88" s="163"/>
    </row>
    <row r="89" spans="1:7" s="12" customFormat="1" ht="16">
      <c r="A89" s="12" t="s">
        <v>88</v>
      </c>
      <c r="B89" s="151">
        <v>0.03</v>
      </c>
      <c r="C89" s="163"/>
    </row>
    <row r="90" spans="1:7" s="12" customFormat="1" ht="16">
      <c r="A90" s="12" t="s">
        <v>97</v>
      </c>
      <c r="B90" s="151">
        <v>5</v>
      </c>
      <c r="C90" s="163"/>
    </row>
    <row r="91" spans="1:7" s="12" customFormat="1" ht="16">
      <c r="A91" s="12" t="s">
        <v>934</v>
      </c>
      <c r="B91" s="151">
        <v>2.9000000000000001E-2</v>
      </c>
      <c r="C91" s="163"/>
    </row>
    <row r="92" spans="1:7" s="12" customFormat="1" ht="16">
      <c r="A92" t="s">
        <v>942</v>
      </c>
      <c r="B92" s="156">
        <v>15</v>
      </c>
      <c r="C92" s="175"/>
      <c r="D92"/>
      <c r="E92"/>
      <c r="F92"/>
      <c r="G92"/>
    </row>
    <row r="93" spans="1:7" s="12" customFormat="1" ht="16">
      <c r="A93" s="53" t="s">
        <v>943</v>
      </c>
      <c r="B93" s="156">
        <v>3</v>
      </c>
      <c r="C93" s="175"/>
      <c r="D93"/>
      <c r="E93"/>
      <c r="F93"/>
      <c r="G93"/>
    </row>
    <row r="94" spans="1:7" s="12" customFormat="1" ht="16">
      <c r="A94" s="53" t="s">
        <v>944</v>
      </c>
      <c r="B94" s="156">
        <v>20</v>
      </c>
      <c r="C94" s="175"/>
      <c r="D94"/>
      <c r="E94"/>
      <c r="F94"/>
      <c r="G94"/>
    </row>
    <row r="95" spans="1:7" s="12" customFormat="1" ht="16">
      <c r="A95" s="53" t="s">
        <v>945</v>
      </c>
      <c r="B95" s="157">
        <v>2.9000000000000001E-2</v>
      </c>
      <c r="C95" s="176">
        <v>2.9000000000000001E-2</v>
      </c>
      <c r="D95" s="158">
        <v>2.5000000000000001E-2</v>
      </c>
      <c r="E95" s="158">
        <v>2.1999999999999999E-2</v>
      </c>
      <c r="F95" s="158">
        <v>2.1999999999999999E-2</v>
      </c>
      <c r="G95"/>
    </row>
    <row r="96" spans="1:7" s="12" customFormat="1" ht="16">
      <c r="A96" s="53" t="s">
        <v>946</v>
      </c>
      <c r="B96" s="156">
        <v>0</v>
      </c>
      <c r="C96" s="177">
        <v>0</v>
      </c>
      <c r="D96" s="159">
        <v>0.1</v>
      </c>
      <c r="E96" s="159">
        <v>0.15</v>
      </c>
      <c r="F96" s="159">
        <v>0.2</v>
      </c>
      <c r="G96"/>
    </row>
    <row r="97" spans="1:7" s="12" customFormat="1" ht="16">
      <c r="A97" s="160" t="s">
        <v>947</v>
      </c>
      <c r="B97" s="58" t="s">
        <v>948</v>
      </c>
      <c r="C97" s="175"/>
      <c r="D97"/>
      <c r="E97"/>
      <c r="F97"/>
      <c r="G97"/>
    </row>
    <row r="98" spans="1:7" s="12" customFormat="1" ht="16">
      <c r="A98" s="53" t="s">
        <v>967</v>
      </c>
      <c r="B98" s="157">
        <v>0.04</v>
      </c>
      <c r="C98"/>
      <c r="D98"/>
      <c r="E98"/>
      <c r="F98"/>
      <c r="G98"/>
    </row>
    <row r="99" spans="1:7" s="12" customFormat="1" ht="16">
      <c r="A99" s="181" t="s">
        <v>968</v>
      </c>
      <c r="B99" s="156">
        <v>40000</v>
      </c>
      <c r="C99" s="182">
        <v>75000</v>
      </c>
      <c r="D99" s="183">
        <v>75000</v>
      </c>
      <c r="E99" s="183">
        <v>50000</v>
      </c>
      <c r="F99" s="183">
        <v>50000</v>
      </c>
    </row>
    <row r="100" spans="1:7" s="12" customFormat="1" ht="16">
      <c r="A100" s="181" t="s">
        <v>969</v>
      </c>
      <c r="B100" s="156">
        <v>0.1</v>
      </c>
      <c r="C100" s="177">
        <v>0.1</v>
      </c>
      <c r="D100" s="156">
        <v>0.08</v>
      </c>
      <c r="E100" s="156">
        <v>0.06</v>
      </c>
      <c r="F100" s="156">
        <v>0.05</v>
      </c>
    </row>
    <row r="101" spans="1:7" s="12" customFormat="1" ht="16">
      <c r="A101" s="136" t="s">
        <v>504</v>
      </c>
      <c r="B101" s="15"/>
      <c r="C101" s="163"/>
    </row>
    <row r="102" spans="1:7" s="12" customFormat="1" ht="16">
      <c r="A102" s="141" t="s">
        <v>505</v>
      </c>
      <c r="B102" s="145" t="s">
        <v>506</v>
      </c>
      <c r="C102" s="164" t="s">
        <v>12</v>
      </c>
      <c r="D102" s="145" t="s">
        <v>507</v>
      </c>
      <c r="E102" s="145" t="s">
        <v>508</v>
      </c>
      <c r="F102" s="145" t="s">
        <v>367</v>
      </c>
      <c r="G102" s="145" t="s">
        <v>354</v>
      </c>
    </row>
    <row r="103" spans="1:7" s="12" customFormat="1" ht="16">
      <c r="A103" s="12" t="s">
        <v>924</v>
      </c>
      <c r="B103" s="149">
        <v>500000</v>
      </c>
      <c r="C103" s="178">
        <v>1</v>
      </c>
      <c r="D103" s="142">
        <v>1</v>
      </c>
      <c r="E103" s="142">
        <v>1</v>
      </c>
      <c r="F103" s="147" t="s">
        <v>64</v>
      </c>
      <c r="G103" s="12">
        <v>6166667</v>
      </c>
    </row>
    <row r="104" spans="1:7" s="12" customFormat="1" ht="16">
      <c r="A104" s="12" t="s">
        <v>349</v>
      </c>
      <c r="B104" s="149">
        <v>3000000</v>
      </c>
      <c r="C104" s="178">
        <v>2</v>
      </c>
      <c r="D104" s="142">
        <v>1</v>
      </c>
      <c r="E104" s="142">
        <v>1</v>
      </c>
      <c r="F104" s="147" t="s">
        <v>64</v>
      </c>
      <c r="G104" s="12">
        <v>17000000</v>
      </c>
    </row>
    <row r="105" spans="1:7" s="12" customFormat="1" ht="16">
      <c r="A105" s="12" t="s">
        <v>350</v>
      </c>
      <c r="B105" s="149">
        <v>15000000</v>
      </c>
      <c r="C105" s="179">
        <v>4</v>
      </c>
      <c r="D105" s="148">
        <v>1</v>
      </c>
      <c r="E105" s="142">
        <v>1</v>
      </c>
      <c r="F105" s="148" t="s">
        <v>64</v>
      </c>
      <c r="G105" s="148">
        <v>60000000</v>
      </c>
    </row>
    <row r="106" spans="1:7" s="12" customFormat="1" ht="16">
      <c r="A106" s="12" t="s">
        <v>351</v>
      </c>
      <c r="B106" s="149">
        <v>0</v>
      </c>
      <c r="C106" s="163" t="s">
        <v>53</v>
      </c>
      <c r="D106" s="12" t="s">
        <v>53</v>
      </c>
      <c r="E106" s="142">
        <v>0</v>
      </c>
      <c r="F106" s="12" t="s">
        <v>53</v>
      </c>
      <c r="G106" s="12" t="s">
        <v>509</v>
      </c>
    </row>
    <row r="107" spans="1:7" s="12" customFormat="1" ht="16">
      <c r="B107" s="15"/>
      <c r="C107" s="163"/>
    </row>
    <row r="108" spans="1:7" s="12" customFormat="1" ht="16">
      <c r="A108" s="136" t="s">
        <v>510</v>
      </c>
      <c r="B108" s="15"/>
      <c r="C108" s="163"/>
    </row>
    <row r="109" spans="1:7" s="12" customFormat="1" ht="16">
      <c r="A109" s="141" t="s">
        <v>66</v>
      </c>
      <c r="B109" s="145" t="s">
        <v>59</v>
      </c>
      <c r="C109" s="163"/>
    </row>
    <row r="110" spans="1:7" s="12" customFormat="1" ht="16">
      <c r="A110" s="12" t="s">
        <v>86</v>
      </c>
      <c r="B110" s="154">
        <v>45</v>
      </c>
      <c r="C110" s="163"/>
    </row>
    <row r="111" spans="1:7" s="12" customFormat="1" ht="16">
      <c r="A111" s="12" t="s">
        <v>87</v>
      </c>
      <c r="B111" s="154">
        <v>30</v>
      </c>
      <c r="C111" s="163"/>
    </row>
    <row r="112" spans="1:7" s="12" customFormat="1" ht="16">
      <c r="A112" s="12" t="s">
        <v>85</v>
      </c>
      <c r="B112" s="151">
        <v>0.45</v>
      </c>
      <c r="C112" s="163"/>
    </row>
    <row r="113" spans="1:2" s="12" customFormat="1" ht="16">
      <c r="A113" s="12" t="s">
        <v>84</v>
      </c>
      <c r="B113" s="151">
        <v>0.08</v>
      </c>
    </row>
  </sheetData>
  <mergeCells count="18">
    <mergeCell ref="D34:E34"/>
    <mergeCell ref="A1:H1"/>
    <mergeCell ref="A34:B34"/>
    <mergeCell ref="D11:E11"/>
    <mergeCell ref="D12:E12"/>
    <mergeCell ref="D13:E13"/>
    <mergeCell ref="D14:E14"/>
    <mergeCell ref="D15:E15"/>
    <mergeCell ref="D16:E16"/>
    <mergeCell ref="E25:I25"/>
    <mergeCell ref="E22:I22"/>
    <mergeCell ref="E23:I23"/>
    <mergeCell ref="E24:I24"/>
    <mergeCell ref="E21:I21"/>
    <mergeCell ref="D30:E30"/>
    <mergeCell ref="D31:E31"/>
    <mergeCell ref="D32:E32"/>
    <mergeCell ref="D33:E33"/>
  </mergeCells>
  <pageMargins left="0.75" right="0.75" top="1" bottom="1" header="0.5" footer="0.5"/>
  <pageSetup scale="67" fitToHeight="2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E755-5308-42B2-8F81-AF98EB376A9E}">
  <sheetPr>
    <tabColor rgb="FF92D050"/>
    <pageSetUpPr fitToPage="1"/>
  </sheetPr>
  <dimension ref="A1:I44"/>
  <sheetViews>
    <sheetView topLeftCell="A26" workbookViewId="0">
      <selection activeCell="C5" sqref="C5"/>
    </sheetView>
  </sheetViews>
  <sheetFormatPr defaultColWidth="8.81640625" defaultRowHeight="16"/>
  <cols>
    <col min="1" max="1" width="36.36328125" style="12" customWidth="1"/>
    <col min="2" max="6" width="22.81640625" style="12" customWidth="1"/>
    <col min="7" max="7" width="6" style="12" customWidth="1"/>
    <col min="8" max="8" width="23.81640625" style="13" customWidth="1"/>
    <col min="9" max="9" width="13.54296875" style="13" bestFit="1" customWidth="1"/>
    <col min="10" max="10" width="8.81640625" style="13"/>
    <col min="11" max="11" width="18.7265625" style="13" customWidth="1"/>
    <col min="12" max="16384" width="8.81640625" style="13"/>
  </cols>
  <sheetData>
    <row r="1" spans="1:9" s="36" customFormat="1" ht="35" customHeight="1">
      <c r="A1" s="197" t="s">
        <v>760</v>
      </c>
      <c r="B1" s="197"/>
      <c r="C1" s="197"/>
      <c r="D1" s="197"/>
      <c r="E1" s="197"/>
      <c r="F1" s="197"/>
      <c r="G1"/>
      <c r="H1"/>
      <c r="I1"/>
    </row>
    <row r="2" spans="1:9" customFormat="1" ht="15.65" customHeight="1"/>
    <row r="3" spans="1:9">
      <c r="A3"/>
      <c r="B3"/>
      <c r="C3"/>
      <c r="D3"/>
      <c r="E3"/>
      <c r="F3"/>
      <c r="G3"/>
      <c r="H3" t="s">
        <v>25</v>
      </c>
      <c r="I3" s="72">
        <f>Assumptions!B7</f>
        <v>0.8</v>
      </c>
    </row>
    <row r="4" spans="1:9">
      <c r="A4"/>
      <c r="B4" s="115">
        <v>2026</v>
      </c>
      <c r="C4" s="115">
        <v>2027</v>
      </c>
      <c r="D4" s="115">
        <v>2028</v>
      </c>
      <c r="E4" s="115">
        <v>2029</v>
      </c>
      <c r="F4" s="115">
        <v>2030</v>
      </c>
      <c r="G4"/>
      <c r="H4" t="s">
        <v>31</v>
      </c>
      <c r="I4" s="72">
        <f>Assumptions!F6</f>
        <v>0.21</v>
      </c>
    </row>
    <row r="5" spans="1:9" ht="18" customHeight="1">
      <c r="A5"/>
      <c r="B5"/>
      <c r="C5"/>
      <c r="D5"/>
      <c r="E5"/>
      <c r="F5"/>
      <c r="G5"/>
      <c r="H5"/>
      <c r="I5"/>
    </row>
    <row r="6" spans="1:9" ht="18" customHeight="1">
      <c r="A6" s="111" t="s">
        <v>761</v>
      </c>
      <c r="B6"/>
      <c r="C6"/>
      <c r="D6"/>
      <c r="E6"/>
      <c r="F6"/>
      <c r="G6"/>
      <c r="H6"/>
      <c r="I6"/>
    </row>
    <row r="7" spans="1:9" s="18" customFormat="1" ht="24" customHeight="1">
      <c r="A7" t="s">
        <v>762</v>
      </c>
      <c r="B7" s="120">
        <f>Assumptions!B66*Assumptions!$B$13*Assumptions!$B$71*Assumptions!$C$13+Assumptions!B67*Assumptions!$B$14*Assumptions!$C$14+Assumptions!B68*Assumptions!$B$15*Assumptions!$C$15+Assumptions!B66*Assumptions!$B$16*Assumptions!$B$71*Assumptions!$C$16</f>
        <v>57500</v>
      </c>
      <c r="C7" s="120">
        <f>Assumptions!C66*Assumptions!$B$13*Assumptions!$B$71*Assumptions!$C$13+Assumptions!C67*Assumptions!$B$14*Assumptions!$C$14+Assumptions!C68*Assumptions!$B$15*Assumptions!$C$15+Assumptions!C66*Assumptions!$B$16*Assumptions!$B$71*Assumptions!$C$16</f>
        <v>277500</v>
      </c>
      <c r="D7" s="120">
        <f>Assumptions!D66*Assumptions!$B$13*Assumptions!$B$71*Assumptions!$C$13+Assumptions!D67*Assumptions!$B$14*Assumptions!$C$14+Assumptions!D68*Assumptions!$B$15*Assumptions!$C$15+Assumptions!D66*Assumptions!$B$16*Assumptions!$B$71*Assumptions!$C$16</f>
        <v>1100000</v>
      </c>
      <c r="E7" s="120">
        <f>Assumptions!E66*Assumptions!$B$13*Assumptions!$B$71*Assumptions!$C$13+Assumptions!E67*Assumptions!$B$14*Assumptions!$C$14+Assumptions!E68*Assumptions!$B$15*Assumptions!$C$15+Assumptions!E66*Assumptions!$B$16*Assumptions!$B$71*Assumptions!$C$16</f>
        <v>2775000</v>
      </c>
      <c r="F7" s="120">
        <f>Assumptions!F66*Assumptions!$B$13*Assumptions!$B$71*Assumptions!$C$13+Assumptions!F67*Assumptions!$B$14*Assumptions!$C$14+Assumptions!F68*Assumptions!$B$15*Assumptions!$C$15+Assumptions!F66*Assumptions!$B$16*Assumptions!$B$71*Assumptions!$C$16</f>
        <v>7197500</v>
      </c>
      <c r="G7"/>
      <c r="H7"/>
      <c r="I7"/>
    </row>
    <row r="8" spans="1:9" s="18" customFormat="1" ht="19.899999999999999" customHeight="1">
      <c r="A8" t="s">
        <v>763</v>
      </c>
      <c r="B8" s="120">
        <f>IF(Assumptions!$F$27=1,0,Assumptions!B52*Assumptions!$B$23*Assumptions!$D$23+Assumptions!B53*Assumptions!$B$24*Assumptions!$D$24+Assumptions!B54*Assumptions!$B$25*Assumptions!$D$25)</f>
        <v>310810</v>
      </c>
      <c r="C8" s="120">
        <f>Assumptions!C52*Assumptions!$B$23*Assumptions!$D$23+Assumptions!C53*Assumptions!$B$24*Assumptions!$D$24+Assumptions!C54*Assumptions!$B$25*Assumptions!$D$25</f>
        <v>828940</v>
      </c>
      <c r="D8" s="120">
        <f>Assumptions!D52*Assumptions!$B$23*Assumptions!$D$23+Assumptions!D53*Assumptions!$B$24*Assumptions!$D$24+Assumptions!D54*Assumptions!$B$25*Assumptions!$D$25</f>
        <v>2102320</v>
      </c>
      <c r="E8" s="120">
        <f>Assumptions!E52*Assumptions!$B$23*Assumptions!$D$23+Assumptions!E53*Assumptions!$B$24*Assumptions!$D$24+Assumptions!E54*Assumptions!$B$25*Assumptions!$D$25</f>
        <v>4204640</v>
      </c>
      <c r="F8" s="120">
        <f>Assumptions!F52*Assumptions!$B$23*Assumptions!$D$23+Assumptions!F53*Assumptions!$B$24*Assumptions!$D$24+Assumptions!F54*Assumptions!$B$25*Assumptions!$D$25</f>
        <v>8409280</v>
      </c>
      <c r="G8"/>
      <c r="H8"/>
      <c r="I8"/>
    </row>
    <row r="9" spans="1:9" s="18" customFormat="1" ht="19.899999999999999" customHeight="1">
      <c r="A9" t="s">
        <v>764</v>
      </c>
      <c r="B9" s="120">
        <f>(Assumptions!B52+Assumptions!B53+Assumptions!B54)*Assumptions!$C$34*(Assumptions!$B$31+Assumptions!$B$32+Assumptions!$B$33)/3*12</f>
        <v>23943</v>
      </c>
      <c r="C9" s="120">
        <f>(Assumptions!C52+Assumptions!C53+Assumptions!C54)*Assumptions!$C$34*(Assumptions!$B$31+Assumptions!$B$32+Assumptions!$B$33)/3*12</f>
        <v>61419</v>
      </c>
      <c r="D9" s="120">
        <f>(Assumptions!D52+Assumptions!D53+Assumptions!D54)*Assumptions!$C$34*(Assumptions!$B$31+Assumptions!$B$32+Assumptions!$B$33)/3*12</f>
        <v>154068</v>
      </c>
      <c r="E9" s="120">
        <f>(Assumptions!E52+Assumptions!E53+Assumptions!E54)*Assumptions!$C$34*(Assumptions!$B$31+Assumptions!$B$32+Assumptions!$B$33)/3*12</f>
        <v>308136</v>
      </c>
      <c r="F9" s="120">
        <f>(Assumptions!F52+Assumptions!F53+Assumptions!F54)*Assumptions!$C$34*(Assumptions!$B$31+Assumptions!$B$32+Assumptions!$B$33)/3*12</f>
        <v>616272</v>
      </c>
      <c r="G9"/>
      <c r="H9"/>
      <c r="I9"/>
    </row>
    <row r="10" spans="1:9" s="18" customFormat="1" ht="19.899999999999999" customHeight="1">
      <c r="A10" s="1" t="s">
        <v>0</v>
      </c>
      <c r="B10" s="121">
        <f>SUM(B7:B9)</f>
        <v>392253</v>
      </c>
      <c r="C10" s="121">
        <f>SUM(C7:C9)</f>
        <v>1167859</v>
      </c>
      <c r="D10" s="121">
        <f>SUM(D7:D9)</f>
        <v>3356388</v>
      </c>
      <c r="E10" s="121">
        <f>SUM(E7:E9)</f>
        <v>7287776</v>
      </c>
      <c r="F10" s="121">
        <f>SUM(F7:F9)</f>
        <v>16223052</v>
      </c>
      <c r="G10"/>
      <c r="H10"/>
      <c r="I10"/>
    </row>
    <row r="11" spans="1:9" s="23" customFormat="1" ht="28.15" customHeight="1">
      <c r="A11" s="58" t="s">
        <v>765</v>
      </c>
      <c r="B11" s="58" t="str">
        <f>IF(B10=0,"N/A",TEXT(B7/B10,"0%")&amp;" | "&amp;TEXT(B8/B10,"0%")&amp;" | "&amp;TEXT(B9/B10,"0%"))</f>
        <v>15% | 79% | 6%</v>
      </c>
      <c r="C11" s="58" t="str">
        <f>IF(C10=0,"N/A",TEXT(C7/C10,"0%")&amp;" | "&amp;TEXT(C8/C10,"0%")&amp;" | "&amp;TEXT(C9/C10,"0%"))</f>
        <v>24% | 71% | 5%</v>
      </c>
      <c r="D11" s="58" t="str">
        <f>IF(D10=0,"N/A",TEXT(D7/D10,"0%")&amp;" | "&amp;TEXT(D8/D10,"0%")&amp;" | "&amp;TEXT(D9/D10,"0%"))</f>
        <v>33% | 63% | 5%</v>
      </c>
      <c r="E11" s="58" t="str">
        <f>IF(E10=0,"N/A",TEXT(E7/E10,"0%")&amp;" | "&amp;TEXT(E8/E10,"0%")&amp;" | "&amp;TEXT(E9/E10,"0%"))</f>
        <v>38% | 58% | 4%</v>
      </c>
      <c r="F11" s="58" t="str">
        <f>IF(F10=0,"N/A",TEXT(F7/F10,"0%")&amp;" | "&amp;TEXT(F8/F10,"0%")&amp;" | "&amp;TEXT(F9/F10,"0%"))</f>
        <v>44% | 52% | 4%</v>
      </c>
      <c r="G11"/>
      <c r="H11"/>
      <c r="I11"/>
    </row>
    <row r="12" spans="1:9" s="18" customFormat="1" ht="19.899999999999999" customHeight="1">
      <c r="A12"/>
      <c r="B12"/>
      <c r="C12"/>
      <c r="D12"/>
      <c r="E12"/>
      <c r="F12"/>
      <c r="G12"/>
      <c r="H12"/>
      <c r="I12"/>
    </row>
    <row r="13" spans="1:9" s="18" customFormat="1" ht="24" customHeight="1">
      <c r="A13" s="111" t="s">
        <v>766</v>
      </c>
      <c r="B13"/>
      <c r="C13"/>
      <c r="D13"/>
      <c r="E13"/>
      <c r="F13"/>
      <c r="G13"/>
      <c r="H13"/>
      <c r="I13"/>
    </row>
    <row r="14" spans="1:9" s="18" customFormat="1" ht="19.899999999999999" customHeight="1">
      <c r="A14" t="s">
        <v>33</v>
      </c>
      <c r="B14" s="120">
        <f>'Cost of Revenue'!B48</f>
        <v>42146.616999999998</v>
      </c>
      <c r="C14" s="120">
        <f>'Cost of Revenue'!C48</f>
        <v>122390.321</v>
      </c>
      <c r="D14" s="120">
        <f>'Cost of Revenue'!D48</f>
        <v>356578.79000000004</v>
      </c>
      <c r="E14" s="120">
        <f>'Cost of Revenue'!E48</f>
        <v>784619.98699999996</v>
      </c>
      <c r="F14" s="120">
        <f>'Cost of Revenue'!F48</f>
        <v>1818277.9339999999</v>
      </c>
      <c r="G14"/>
      <c r="H14"/>
      <c r="I14"/>
    </row>
    <row r="15" spans="1:9" s="23" customFormat="1" ht="28.15" customHeight="1">
      <c r="A15" s="1" t="s">
        <v>34</v>
      </c>
      <c r="B15" s="121">
        <f>B10-B14</f>
        <v>350106.38300000003</v>
      </c>
      <c r="C15" s="121">
        <f>C10-C14</f>
        <v>1045468.679</v>
      </c>
      <c r="D15" s="121">
        <f>D10-D14</f>
        <v>2999809.21</v>
      </c>
      <c r="E15" s="121">
        <f>E10-E14</f>
        <v>6503156.0130000003</v>
      </c>
      <c r="F15" s="121">
        <f>F10-F14</f>
        <v>14404774.066</v>
      </c>
      <c r="G15"/>
      <c r="H15"/>
      <c r="I15"/>
    </row>
    <row r="16" spans="1:9" s="18" customFormat="1" ht="19.899999999999999" customHeight="1">
      <c r="A16" t="s">
        <v>133</v>
      </c>
      <c r="B16" s="119">
        <f>IF(B10=0,0,B15/B10)</f>
        <v>0.89255246741261385</v>
      </c>
      <c r="C16" s="119">
        <f>IF(C10=0,0,C15/C10)</f>
        <v>0.89520111503186606</v>
      </c>
      <c r="D16" s="119">
        <f>IF(D10=0,0,D15/D10)</f>
        <v>0.89376115335890849</v>
      </c>
      <c r="E16" s="119">
        <f>IF(E10=0,0,E15/E10)</f>
        <v>0.8923375269766799</v>
      </c>
      <c r="F16" s="119">
        <f>IF(F10=0,0,F15/F10)</f>
        <v>0.88792010689480616</v>
      </c>
      <c r="G16"/>
      <c r="H16"/>
      <c r="I16"/>
    </row>
    <row r="18" spans="1:6" s="18" customFormat="1" ht="19.149999999999999" customHeight="1">
      <c r="A18" s="111" t="s">
        <v>767</v>
      </c>
      <c r="B18"/>
      <c r="C18"/>
      <c r="D18"/>
      <c r="E18"/>
      <c r="F18"/>
    </row>
    <row r="19" spans="1:6" s="18" customFormat="1" ht="19.899999999999999" customHeight="1">
      <c r="A19" t="s">
        <v>36</v>
      </c>
      <c r="B19" s="120">
        <f>'Operating Expenses'!B15</f>
        <v>323147.83</v>
      </c>
      <c r="C19" s="120">
        <f>'Operating Expenses'!C15</f>
        <v>970864.49</v>
      </c>
      <c r="D19" s="120">
        <f>'Operating Expenses'!D15</f>
        <v>2072722.6800000002</v>
      </c>
      <c r="E19" s="120">
        <f>'Operating Expenses'!E15</f>
        <v>3692555.8400000003</v>
      </c>
      <c r="F19" s="120">
        <f>'Operating Expenses'!F15</f>
        <v>6288491.176</v>
      </c>
    </row>
    <row r="20" spans="1:6" s="18" customFormat="1" ht="19.899999999999999" customHeight="1">
      <c r="A20" t="s">
        <v>35</v>
      </c>
      <c r="B20" s="120">
        <f>'Operating Expenses'!B24</f>
        <v>144570.35999999999</v>
      </c>
      <c r="C20" s="120">
        <f>'Operating Expenses'!C24</f>
        <v>763714.88</v>
      </c>
      <c r="D20" s="120">
        <f>'Operating Expenses'!D24</f>
        <v>1616733.12</v>
      </c>
      <c r="E20" s="120">
        <f>'Operating Expenses'!E24</f>
        <v>2779270.4000000004</v>
      </c>
      <c r="F20" s="120">
        <f>'Operating Expenses'!F24</f>
        <v>4900309.6831999999</v>
      </c>
    </row>
    <row r="21" spans="1:6" s="23" customFormat="1" ht="28.15" customHeight="1">
      <c r="A21" t="s">
        <v>37</v>
      </c>
      <c r="B21" s="120">
        <f>'Operating Expenses'!B32</f>
        <v>201000</v>
      </c>
      <c r="C21" s="120">
        <f>'Operating Expenses'!C32</f>
        <v>343400</v>
      </c>
      <c r="D21" s="120">
        <f>'Operating Expenses'!D32</f>
        <v>623968</v>
      </c>
      <c r="E21" s="120">
        <f>'Operating Expenses'!E32</f>
        <v>1216415.6800000002</v>
      </c>
      <c r="F21" s="120">
        <f>'Operating Expenses'!F32</f>
        <v>1711312.3072000002</v>
      </c>
    </row>
    <row r="22" spans="1:6" s="23" customFormat="1" ht="28.15" customHeight="1">
      <c r="A22" t="s">
        <v>970</v>
      </c>
      <c r="B22" s="120">
        <f>Personnel!J47*Assumptions!B100</f>
        <v>52750</v>
      </c>
      <c r="C22" s="120">
        <f>Personnel!K47*Assumptions!C100</f>
        <v>145080</v>
      </c>
      <c r="D22" s="120">
        <f>Personnel!L47*Assumptions!D100</f>
        <v>231895.04000000004</v>
      </c>
      <c r="E22" s="120">
        <f>Personnel!M47*Assumptions!E100</f>
        <v>294601.88160000002</v>
      </c>
      <c r="F22" s="120">
        <f>Personnel!N47*Assumptions!F100</f>
        <v>376694.45632000011</v>
      </c>
    </row>
    <row r="23" spans="1:6" s="18" customFormat="1" ht="19.899999999999999" customHeight="1">
      <c r="A23" s="1" t="s">
        <v>38</v>
      </c>
      <c r="B23" s="121">
        <f>SUM(B19:B22)</f>
        <v>721468.19</v>
      </c>
      <c r="C23" s="121">
        <f>SUM(C19:C22)</f>
        <v>2223059.37</v>
      </c>
      <c r="D23" s="121">
        <f>SUM(D19:D22)</f>
        <v>4545318.8400000008</v>
      </c>
      <c r="E23" s="121">
        <f>SUM(E19:E22)</f>
        <v>7982843.8015999999</v>
      </c>
      <c r="F23" s="121">
        <f>SUM(F19:F22)</f>
        <v>13276807.622720001</v>
      </c>
    </row>
    <row r="24" spans="1:6" s="23" customFormat="1" ht="28.15" customHeight="1">
      <c r="A24" t="s">
        <v>759</v>
      </c>
      <c r="B24" s="119">
        <f>IF(B10=0,0,B23/B10)</f>
        <v>1.8392929818255053</v>
      </c>
      <c r="C24" s="119">
        <f>IF(C10=0,0,C23/C10)</f>
        <v>1.903534048202737</v>
      </c>
      <c r="D24" s="119">
        <f>IF(D10=0,0,D23/D10)</f>
        <v>1.3542292607410111</v>
      </c>
      <c r="E24" s="119">
        <f>IF(E10=0,0,E23/E10)</f>
        <v>1.0953744738586917</v>
      </c>
      <c r="F24" s="119">
        <f>IF(F10=0,0,F23/F10)</f>
        <v>0.81839148532101125</v>
      </c>
    </row>
    <row r="25" spans="1:6" s="18" customFormat="1" ht="19.899999999999999" customHeight="1">
      <c r="A25"/>
      <c r="B25"/>
      <c r="C25"/>
      <c r="D25"/>
      <c r="E25"/>
      <c r="F25"/>
    </row>
    <row r="26" spans="1:6" s="18" customFormat="1" ht="19.899999999999999" customHeight="1">
      <c r="A26" s="111" t="s">
        <v>768</v>
      </c>
      <c r="B26"/>
      <c r="C26"/>
      <c r="D26"/>
      <c r="E26"/>
      <c r="F26"/>
    </row>
    <row r="27" spans="1:6" s="23" customFormat="1" ht="28.15" customHeight="1">
      <c r="A27" s="1" t="s">
        <v>39</v>
      </c>
      <c r="B27" s="121">
        <f>B15-B23</f>
        <v>-371361.80699999991</v>
      </c>
      <c r="C27" s="121">
        <f>C15-C23</f>
        <v>-1177590.6910000001</v>
      </c>
      <c r="D27" s="121">
        <f>D15-D23</f>
        <v>-1545509.6300000008</v>
      </c>
      <c r="E27" s="121">
        <f>E15-E23</f>
        <v>-1479687.7885999996</v>
      </c>
      <c r="F27" s="121">
        <f>F15-F23</f>
        <v>1127966.4432799984</v>
      </c>
    </row>
    <row r="28" spans="1:6" s="18" customFormat="1" ht="19.899999999999999" customHeight="1">
      <c r="A28" t="s">
        <v>134</v>
      </c>
      <c r="B28" s="119">
        <f>IF(B10=0,0,B27/B10)</f>
        <v>-0.94674051441289142</v>
      </c>
      <c r="C28" s="119">
        <f>IF(C10=0,0,C27/C10)</f>
        <v>-1.0083329331708708</v>
      </c>
      <c r="D28" s="119">
        <f>IF(D10=0,0,D27/D10)</f>
        <v>-0.4604681073821027</v>
      </c>
      <c r="E28" s="119">
        <f>IF(E10=0,0,E27/E10)</f>
        <v>-0.20303694688201168</v>
      </c>
      <c r="F28" s="119">
        <f>IF(F10=0,0,F27/F10)</f>
        <v>6.952862157379501E-2</v>
      </c>
    </row>
    <row r="29" spans="1:6" s="23" customFormat="1" ht="28.15" customHeight="1">
      <c r="A29" t="s">
        <v>40</v>
      </c>
      <c r="B29" s="120">
        <f>B10*Assumptions!$B$89/Assumptions!$B$90</f>
        <v>2353.518</v>
      </c>
      <c r="C29" s="120">
        <f>C10*Assumptions!$B$89/Assumptions!$B$90</f>
        <v>7007.1539999999995</v>
      </c>
      <c r="D29" s="120">
        <f>D10*Assumptions!$B$89/Assumptions!$B$90</f>
        <v>20138.328000000001</v>
      </c>
      <c r="E29" s="120">
        <f>E10*Assumptions!$B$89/Assumptions!$B$90</f>
        <v>43726.656000000003</v>
      </c>
      <c r="F29" s="120">
        <f>F10*Assumptions!$B$89/Assumptions!$B$90</f>
        <v>97338.312000000005</v>
      </c>
    </row>
    <row r="30" spans="1:6" s="18" customFormat="1" ht="15" customHeight="1">
      <c r="A30" s="1" t="s">
        <v>41</v>
      </c>
      <c r="B30" s="121">
        <f>B27-B29</f>
        <v>-373715.3249999999</v>
      </c>
      <c r="C30" s="121">
        <f>C27-C29</f>
        <v>-1184597.8450000002</v>
      </c>
      <c r="D30" s="121">
        <f>D27-D29</f>
        <v>-1565647.9580000008</v>
      </c>
      <c r="E30" s="121">
        <f>E27-E29</f>
        <v>-1523414.4445999996</v>
      </c>
      <c r="F30" s="121">
        <f>F27-F29</f>
        <v>1030628.1312799983</v>
      </c>
    </row>
    <row r="31" spans="1:6" s="18" customFormat="1" ht="19.899999999999999" customHeight="1">
      <c r="A31" t="s">
        <v>42</v>
      </c>
      <c r="B31" s="120">
        <v>0</v>
      </c>
      <c r="C31" s="120">
        <v>0</v>
      </c>
      <c r="D31" s="120">
        <v>0</v>
      </c>
      <c r="E31" s="120">
        <v>0</v>
      </c>
      <c r="F31" s="120">
        <v>0</v>
      </c>
    </row>
    <row r="32" spans="1:6" s="18" customFormat="1" ht="19.899999999999999" customHeight="1">
      <c r="A32" s="1" t="s">
        <v>43</v>
      </c>
      <c r="B32" s="121">
        <f>B30-B31</f>
        <v>-373715.3249999999</v>
      </c>
      <c r="C32" s="121">
        <f>C30-C31</f>
        <v>-1184597.8450000002</v>
      </c>
      <c r="D32" s="121">
        <f>D30-D31</f>
        <v>-1565647.9580000008</v>
      </c>
      <c r="E32" s="121">
        <f>E30-E31</f>
        <v>-1523414.4445999996</v>
      </c>
      <c r="F32" s="121">
        <f>F30-F31</f>
        <v>1030628.1312799983</v>
      </c>
    </row>
    <row r="34" spans="1:6" s="23" customFormat="1" ht="28.15" customHeight="1">
      <c r="A34" s="1" t="s">
        <v>44</v>
      </c>
      <c r="B34" s="120">
        <f>B43</f>
        <v>0</v>
      </c>
      <c r="C34" s="120">
        <f>C43</f>
        <v>0</v>
      </c>
      <c r="D34" s="120">
        <f>D43</f>
        <v>0</v>
      </c>
      <c r="E34" s="120">
        <f>E43</f>
        <v>0</v>
      </c>
      <c r="F34" s="120">
        <f>F43</f>
        <v>824502.50502399867</v>
      </c>
    </row>
    <row r="35" spans="1:6" s="18" customFormat="1" ht="19.899999999999999" customHeight="1">
      <c r="A35" t="s">
        <v>45</v>
      </c>
      <c r="B35" s="120">
        <f>MAX(0,B32-B34)</f>
        <v>0</v>
      </c>
      <c r="C35" s="120">
        <f>MAX(0,C32-C34)</f>
        <v>0</v>
      </c>
      <c r="D35" s="120">
        <f>MAX(0,D32-D34)</f>
        <v>0</v>
      </c>
      <c r="E35" s="120">
        <f>MAX(0,E32-E34)</f>
        <v>0</v>
      </c>
      <c r="F35" s="120">
        <f>MAX(0,F32-F34)</f>
        <v>206125.62625599967</v>
      </c>
    </row>
    <row r="36" spans="1:6" ht="18" customHeight="1">
      <c r="A36" s="1" t="s">
        <v>46</v>
      </c>
      <c r="B36" s="120">
        <f>B35*$I$4</f>
        <v>0</v>
      </c>
      <c r="C36" s="120">
        <f>C35*$I$4</f>
        <v>0</v>
      </c>
      <c r="D36" s="120">
        <f>D35*$I$4</f>
        <v>0</v>
      </c>
      <c r="E36" s="120">
        <f>E35*$I$4</f>
        <v>0</v>
      </c>
      <c r="F36" s="120">
        <f>F35*$I$4</f>
        <v>43286.38151375993</v>
      </c>
    </row>
    <row r="37" spans="1:6" ht="28.15" customHeight="1">
      <c r="A37" s="1" t="s">
        <v>47</v>
      </c>
      <c r="B37" s="121">
        <f>B32-B36</f>
        <v>-373715.3249999999</v>
      </c>
      <c r="C37" s="121">
        <f>C32-C36</f>
        <v>-1184597.8450000002</v>
      </c>
      <c r="D37" s="121">
        <f>D32-D36</f>
        <v>-1565647.9580000008</v>
      </c>
      <c r="E37" s="121">
        <f>E32-E36</f>
        <v>-1523414.4445999996</v>
      </c>
      <c r="F37" s="121">
        <f>F32-F36</f>
        <v>987341.74976623838</v>
      </c>
    </row>
    <row r="38" spans="1:6" s="24" customFormat="1" ht="28.15" customHeight="1">
      <c r="A38" s="1" t="s">
        <v>48</v>
      </c>
      <c r="B38" s="119">
        <f>IF(B10=0,0,B37/B10)</f>
        <v>-0.95274051441289143</v>
      </c>
      <c r="C38" s="119">
        <f>IF(C10=0,0,C37/C10)</f>
        <v>-1.014332933170871</v>
      </c>
      <c r="D38" s="119">
        <f>IF(D10=0,0,D37/D10)</f>
        <v>-0.46646810738210265</v>
      </c>
      <c r="E38" s="119">
        <f>IF(E10=0,0,E37/E10)</f>
        <v>-0.20903694688201169</v>
      </c>
      <c r="F38" s="119">
        <f>IF(F10=0,0,F37/F10)</f>
        <v>6.0860419467695624E-2</v>
      </c>
    </row>
    <row r="39" spans="1:6" s="24" customFormat="1" ht="28.15" customHeight="1">
      <c r="A39"/>
      <c r="B39"/>
      <c r="C39"/>
      <c r="D39"/>
      <c r="E39"/>
      <c r="F39"/>
    </row>
    <row r="40" spans="1:6" s="24" customFormat="1" ht="28.15" customHeight="1">
      <c r="A40" s="111" t="s">
        <v>769</v>
      </c>
      <c r="B40"/>
      <c r="C40"/>
      <c r="D40"/>
      <c r="E40"/>
      <c r="F40"/>
    </row>
    <row r="41" spans="1:6" ht="72" customHeight="1">
      <c r="A41" s="1" t="s">
        <v>770</v>
      </c>
      <c r="B41" s="120">
        <v>0</v>
      </c>
      <c r="C41" s="120">
        <f>B44</f>
        <v>373715.3249999999</v>
      </c>
      <c r="D41" s="120">
        <f>C44</f>
        <v>1558313.1700000002</v>
      </c>
      <c r="E41" s="120">
        <f>D44</f>
        <v>3123961.128000001</v>
      </c>
      <c r="F41" s="120">
        <f>E44</f>
        <v>4647375.5726000005</v>
      </c>
    </row>
    <row r="42" spans="1:6" ht="18" customHeight="1">
      <c r="A42" s="1" t="s">
        <v>771</v>
      </c>
      <c r="B42" s="120">
        <f>IF(B32&lt;0,ABS(B32),0)</f>
        <v>373715.3249999999</v>
      </c>
      <c r="C42" s="120">
        <f>IF(C32&lt;0,ABS(C32),0)</f>
        <v>1184597.8450000002</v>
      </c>
      <c r="D42" s="120">
        <f>IF(D32&lt;0,ABS(D32),0)</f>
        <v>1565647.9580000008</v>
      </c>
      <c r="E42" s="120">
        <f>IF(E32&lt;0,ABS(E32),0)</f>
        <v>1523414.4445999996</v>
      </c>
      <c r="F42" s="120">
        <f>IF(F32&lt;0,ABS(F32),0)</f>
        <v>0</v>
      </c>
    </row>
    <row r="43" spans="1:6" s="18" customFormat="1" ht="24" customHeight="1">
      <c r="A43" s="1" t="s">
        <v>772</v>
      </c>
      <c r="B43" s="120">
        <f>IF(B32&gt;0,MIN(B41,B32*$I$3),0)</f>
        <v>0</v>
      </c>
      <c r="C43" s="120">
        <f>IF(C32&gt;0,MIN(C41,C32*$I$3),0)</f>
        <v>0</v>
      </c>
      <c r="D43" s="120">
        <f>IF(D32&gt;0,MIN(D41,D32*$I$3),0)</f>
        <v>0</v>
      </c>
      <c r="E43" s="120">
        <f>IF(E32&gt;0,MIN(E41,E32*$I$3),0)</f>
        <v>0</v>
      </c>
      <c r="F43" s="120">
        <f>IF(F32&gt;0,MIN(F41,F32*$I$3),0)</f>
        <v>824502.50502399867</v>
      </c>
    </row>
    <row r="44" spans="1:6" ht="21" customHeight="1">
      <c r="A44" s="1" t="s">
        <v>773</v>
      </c>
      <c r="B44" s="121">
        <f>B41+B42-B43</f>
        <v>373715.3249999999</v>
      </c>
      <c r="C44" s="121">
        <f>C41+C42-C43</f>
        <v>1558313.1700000002</v>
      </c>
      <c r="D44" s="121">
        <f>D41+D42-D43</f>
        <v>3123961.128000001</v>
      </c>
      <c r="E44" s="121">
        <f>E41+E42-E43</f>
        <v>4647375.5726000005</v>
      </c>
      <c r="F44" s="121">
        <f>F41+F42-F43</f>
        <v>3822873.0675760019</v>
      </c>
    </row>
  </sheetData>
  <mergeCells count="1">
    <mergeCell ref="A1:F1"/>
  </mergeCells>
  <pageMargins left="0.75" right="0.75" top="1" bottom="1" header="0.5" footer="0.5"/>
  <pageSetup scale="1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EEF3-8DE5-4FAB-8984-21C6F06A0DA1}">
  <sheetPr>
    <tabColor rgb="FF92D050"/>
    <pageSetUpPr fitToPage="1"/>
  </sheetPr>
  <dimension ref="A1:K36"/>
  <sheetViews>
    <sheetView workbookViewId="0">
      <selection activeCell="C5" sqref="C5"/>
    </sheetView>
  </sheetViews>
  <sheetFormatPr defaultColWidth="8.81640625" defaultRowHeight="16"/>
  <cols>
    <col min="1" max="1" width="40" style="12" customWidth="1"/>
    <col min="2" max="2" width="12.81640625" style="15" bestFit="1" customWidth="1"/>
    <col min="3" max="3" width="15.1796875" style="12" bestFit="1" customWidth="1"/>
    <col min="4" max="4" width="12.81640625" style="12" bestFit="1" customWidth="1"/>
    <col min="5" max="5" width="17.1796875" style="12" bestFit="1" customWidth="1"/>
    <col min="6" max="6" width="12.81640625" style="12" bestFit="1" customWidth="1"/>
    <col min="7" max="7" width="45.453125" style="12" customWidth="1"/>
    <col min="8" max="8" width="12.81640625" style="12" bestFit="1" customWidth="1"/>
    <col min="9" max="9" width="18.26953125" style="12" bestFit="1" customWidth="1"/>
    <col min="10" max="10" width="12.81640625" style="12" bestFit="1" customWidth="1"/>
    <col min="11" max="11" width="19.54296875" style="12" bestFit="1" customWidth="1"/>
    <col min="12" max="12" width="18" style="12" customWidth="1"/>
    <col min="13" max="15" width="8.81640625" style="12"/>
    <col min="16" max="16" width="11.26953125" style="12" customWidth="1"/>
    <col min="17" max="28" width="8.81640625" style="12"/>
    <col min="29" max="29" width="10.26953125" style="12" customWidth="1"/>
    <col min="30" max="16384" width="8.81640625" style="12"/>
  </cols>
  <sheetData>
    <row r="1" spans="1:11" ht="35" customHeight="1">
      <c r="A1" s="197" t="s">
        <v>729</v>
      </c>
      <c r="B1" s="197"/>
      <c r="C1" s="197"/>
      <c r="D1" s="197"/>
      <c r="E1" s="197"/>
      <c r="F1" s="197"/>
      <c r="G1" s="197"/>
      <c r="H1"/>
      <c r="I1"/>
      <c r="J1"/>
      <c r="K1"/>
    </row>
    <row r="2" spans="1:11" ht="15.65" customHeight="1">
      <c r="A2"/>
      <c r="B2"/>
      <c r="C2"/>
      <c r="D2"/>
      <c r="E2"/>
      <c r="F2"/>
      <c r="G2"/>
      <c r="H2"/>
      <c r="I2"/>
      <c r="J2"/>
      <c r="K2"/>
    </row>
    <row r="3" spans="1:11" s="13" customFormat="1" ht="10.9" customHeight="1">
      <c r="A3"/>
      <c r="B3" s="115">
        <v>2026</v>
      </c>
      <c r="C3" s="115">
        <v>2027</v>
      </c>
      <c r="D3" s="115">
        <v>2028</v>
      </c>
      <c r="E3" s="115">
        <v>2029</v>
      </c>
      <c r="F3" s="115">
        <v>2030</v>
      </c>
      <c r="G3" s="116" t="s">
        <v>56</v>
      </c>
      <c r="H3"/>
      <c r="I3"/>
      <c r="J3"/>
      <c r="K3"/>
    </row>
    <row r="4" spans="1:11" ht="18" customHeight="1">
      <c r="A4"/>
      <c r="B4"/>
      <c r="C4"/>
      <c r="D4"/>
      <c r="E4"/>
      <c r="F4"/>
      <c r="G4"/>
      <c r="H4"/>
      <c r="I4"/>
      <c r="J4"/>
      <c r="K4"/>
    </row>
    <row r="5" spans="1:11" ht="33" customHeight="1">
      <c r="A5" s="1" t="s">
        <v>730</v>
      </c>
      <c r="B5" s="110">
        <f>'Income Statement'!B10</f>
        <v>392253</v>
      </c>
      <c r="C5" s="110">
        <f>'Income Statement'!C10</f>
        <v>1167859</v>
      </c>
      <c r="D5" s="110">
        <f>'Income Statement'!D10</f>
        <v>3356388</v>
      </c>
      <c r="E5" s="110">
        <f>'Income Statement'!E10</f>
        <v>7287776</v>
      </c>
      <c r="F5" s="110">
        <f>'Income Statement'!F10</f>
        <v>16223052</v>
      </c>
      <c r="G5"/>
      <c r="H5"/>
      <c r="I5"/>
      <c r="J5"/>
      <c r="K5"/>
    </row>
    <row r="6" spans="1:11" s="14" customFormat="1" ht="28.15" customHeight="1">
      <c r="A6"/>
      <c r="B6"/>
      <c r="C6"/>
      <c r="D6"/>
      <c r="E6"/>
      <c r="F6"/>
      <c r="G6"/>
      <c r="H6"/>
      <c r="I6"/>
      <c r="J6"/>
      <c r="K6"/>
    </row>
    <row r="7" spans="1:11" s="13" customFormat="1" ht="19.899999999999999" customHeight="1">
      <c r="A7" s="111" t="s">
        <v>731</v>
      </c>
      <c r="B7"/>
      <c r="C7"/>
      <c r="D7"/>
      <c r="E7"/>
      <c r="F7"/>
      <c r="G7"/>
      <c r="H7"/>
      <c r="I7"/>
      <c r="J7"/>
      <c r="K7"/>
    </row>
    <row r="8" spans="1:11" s="14" customFormat="1" ht="28.15" customHeight="1">
      <c r="A8" t="s">
        <v>732</v>
      </c>
      <c r="B8" s="3">
        <f>0.03*B$5</f>
        <v>11767.59</v>
      </c>
      <c r="C8" s="3">
        <f>0.03*C$5</f>
        <v>35035.769999999997</v>
      </c>
      <c r="D8" s="3">
        <f>0.03*D$5</f>
        <v>100691.64</v>
      </c>
      <c r="E8" s="3">
        <f>0.03*E$5</f>
        <v>218633.28</v>
      </c>
      <c r="F8" s="3">
        <f>0.03*F$5</f>
        <v>486691.56</v>
      </c>
      <c r="G8" s="58" t="s">
        <v>733</v>
      </c>
      <c r="H8"/>
      <c r="I8"/>
      <c r="J8"/>
      <c r="K8"/>
    </row>
    <row r="9" spans="1:11" ht="19.899999999999999" customHeight="1">
      <c r="A9" t="s">
        <v>734</v>
      </c>
      <c r="B9" s="3">
        <f>0.02*B$5</f>
        <v>7845.06</v>
      </c>
      <c r="C9" s="3">
        <f>0.02*C$5</f>
        <v>23357.18</v>
      </c>
      <c r="D9" s="3">
        <f>0.02*D$5</f>
        <v>67127.759999999995</v>
      </c>
      <c r="E9" s="3">
        <f>0.02*E$5</f>
        <v>145755.51999999999</v>
      </c>
      <c r="F9" s="3">
        <f>0.02*F$5</f>
        <v>324461.03999999998</v>
      </c>
      <c r="G9" s="58" t="s">
        <v>735</v>
      </c>
      <c r="H9"/>
      <c r="I9"/>
      <c r="J9"/>
      <c r="K9"/>
    </row>
    <row r="10" spans="1:11" s="19" customFormat="1" ht="36" customHeight="1">
      <c r="A10" t="s">
        <v>736</v>
      </c>
      <c r="B10" s="3">
        <f t="shared" ref="B10:F11" si="0">0.015*B$5</f>
        <v>5883.7950000000001</v>
      </c>
      <c r="C10" s="3">
        <f t="shared" si="0"/>
        <v>17517.884999999998</v>
      </c>
      <c r="D10" s="3">
        <f t="shared" si="0"/>
        <v>50345.82</v>
      </c>
      <c r="E10" s="3">
        <f t="shared" si="0"/>
        <v>109316.64</v>
      </c>
      <c r="F10" s="3">
        <f t="shared" si="0"/>
        <v>243345.78</v>
      </c>
      <c r="G10" s="58" t="s">
        <v>737</v>
      </c>
      <c r="H10"/>
      <c r="I10"/>
      <c r="J10"/>
      <c r="K10"/>
    </row>
    <row r="11" spans="1:11" s="19" customFormat="1" ht="19.899999999999999" customHeight="1">
      <c r="A11" t="s">
        <v>738</v>
      </c>
      <c r="B11" s="3">
        <f t="shared" si="0"/>
        <v>5883.7950000000001</v>
      </c>
      <c r="C11" s="3">
        <f t="shared" si="0"/>
        <v>17517.884999999998</v>
      </c>
      <c r="D11" s="3">
        <f t="shared" si="0"/>
        <v>50345.82</v>
      </c>
      <c r="E11" s="3">
        <f t="shared" si="0"/>
        <v>109316.64</v>
      </c>
      <c r="F11" s="3">
        <f t="shared" si="0"/>
        <v>243345.78</v>
      </c>
      <c r="G11" s="58" t="s">
        <v>739</v>
      </c>
      <c r="H11"/>
      <c r="I11"/>
      <c r="J11"/>
      <c r="K11"/>
    </row>
    <row r="12" spans="1:11" s="19" customFormat="1" ht="19.899999999999999" customHeight="1">
      <c r="A12" t="s">
        <v>740</v>
      </c>
      <c r="B12" s="3">
        <f>0.02*B$5</f>
        <v>7845.06</v>
      </c>
      <c r="C12" s="3">
        <f>0.02*C$5</f>
        <v>23357.18</v>
      </c>
      <c r="D12" s="3">
        <f>0.02*D$5</f>
        <v>67127.759999999995</v>
      </c>
      <c r="E12" s="3">
        <f>0.02*E$5</f>
        <v>145755.51999999999</v>
      </c>
      <c r="F12" s="3">
        <f>0.02*F$5</f>
        <v>324461.03999999998</v>
      </c>
      <c r="G12" s="58" t="s">
        <v>741</v>
      </c>
      <c r="H12"/>
      <c r="I12"/>
      <c r="J12"/>
      <c r="K12"/>
    </row>
    <row r="13" spans="1:11" s="19" customFormat="1" ht="19.899999999999999" customHeight="1">
      <c r="A13" t="s">
        <v>742</v>
      </c>
      <c r="B13" s="3">
        <f>0.01*B$5</f>
        <v>3922.53</v>
      </c>
      <c r="C13" s="3">
        <f>0.01*C$5</f>
        <v>11678.59</v>
      </c>
      <c r="D13" s="3">
        <f>0.01*D$5</f>
        <v>33563.879999999997</v>
      </c>
      <c r="E13" s="3">
        <f>0.01*E$5</f>
        <v>72877.759999999995</v>
      </c>
      <c r="F13" s="3">
        <f>0.01*F$5</f>
        <v>162230.51999999999</v>
      </c>
      <c r="G13" s="58" t="s">
        <v>743</v>
      </c>
      <c r="H13"/>
      <c r="I13"/>
      <c r="J13"/>
      <c r="K13"/>
    </row>
    <row r="14" spans="1:11" s="19" customFormat="1" ht="19.899999999999999" customHeight="1">
      <c r="A14" t="s">
        <v>49</v>
      </c>
      <c r="B14" s="3">
        <f>Personnel!J18+Personnel!J23</f>
        <v>280000</v>
      </c>
      <c r="C14" s="3">
        <f>Personnel!K18+Personnel!K23</f>
        <v>842400</v>
      </c>
      <c r="D14" s="3">
        <f>Personnel!L18+Personnel!L23</f>
        <v>1703520.0000000002</v>
      </c>
      <c r="E14" s="3">
        <f>Personnel!M18+Personnel!M23</f>
        <v>2890900.4800000004</v>
      </c>
      <c r="F14" s="3">
        <f>Personnel!N18+Personnel!N23</f>
        <v>4503955.4560000002</v>
      </c>
      <c r="G14" s="58" t="s">
        <v>744</v>
      </c>
      <c r="H14"/>
      <c r="I14"/>
      <c r="J14"/>
      <c r="K14"/>
    </row>
    <row r="15" spans="1:11" s="19" customFormat="1" ht="19.899999999999999" customHeight="1">
      <c r="A15" s="1" t="s">
        <v>745</v>
      </c>
      <c r="B15" s="110">
        <f>SUM(B8:B14)</f>
        <v>323147.83</v>
      </c>
      <c r="C15" s="110">
        <f>SUM(C8:C14)</f>
        <v>970864.49</v>
      </c>
      <c r="D15" s="110">
        <f>SUM(D8:D14)</f>
        <v>2072722.6800000002</v>
      </c>
      <c r="E15" s="110">
        <f>SUM(E8:E14)</f>
        <v>3692555.8400000003</v>
      </c>
      <c r="F15" s="110">
        <f>SUM(F8:F14)</f>
        <v>6288491.176</v>
      </c>
      <c r="G15"/>
      <c r="H15"/>
      <c r="I15"/>
      <c r="J15"/>
      <c r="K15"/>
    </row>
    <row r="16" spans="1:11" s="19" customFormat="1" ht="19.899999999999999" customHeight="1">
      <c r="A16"/>
      <c r="B16"/>
      <c r="C16"/>
      <c r="D16"/>
      <c r="E16"/>
      <c r="F16"/>
      <c r="G16"/>
      <c r="H16"/>
      <c r="I16"/>
      <c r="J16"/>
      <c r="K16"/>
    </row>
    <row r="17" spans="1:11" s="19" customFormat="1" ht="19.899999999999999" customHeight="1">
      <c r="A17" s="111" t="s">
        <v>746</v>
      </c>
      <c r="B17"/>
      <c r="C17"/>
      <c r="D17"/>
      <c r="E17"/>
      <c r="F17"/>
      <c r="G17"/>
      <c r="H17"/>
      <c r="I17"/>
      <c r="J17"/>
      <c r="K17"/>
    </row>
    <row r="18" spans="1:11" s="21" customFormat="1" ht="28.15" customHeight="1">
      <c r="A18" t="s">
        <v>747</v>
      </c>
      <c r="B18" s="3">
        <f>0.05*B$5</f>
        <v>19612.650000000001</v>
      </c>
      <c r="C18" s="3">
        <f>0.15*C$5</f>
        <v>175178.85</v>
      </c>
      <c r="D18" s="3">
        <f>0.12*D$5</f>
        <v>402766.56</v>
      </c>
      <c r="E18" s="3">
        <f>0.1*E$5</f>
        <v>728777.60000000009</v>
      </c>
      <c r="F18" s="3">
        <f>0.08*F$5</f>
        <v>1297844.1599999999</v>
      </c>
      <c r="G18" s="58" t="s">
        <v>927</v>
      </c>
      <c r="H18"/>
      <c r="I18"/>
      <c r="J18"/>
      <c r="K18"/>
    </row>
    <row r="19" spans="1:11" s="19" customFormat="1" ht="18" customHeight="1">
      <c r="A19" t="s">
        <v>465</v>
      </c>
      <c r="B19" s="3">
        <f>0.02*B$5</f>
        <v>7845.06</v>
      </c>
      <c r="C19" s="3">
        <f>0.04*C$5</f>
        <v>46714.36</v>
      </c>
      <c r="D19" s="3">
        <f>0.03*D$5</f>
        <v>100691.64</v>
      </c>
      <c r="E19" s="3">
        <f>0.025*E$5</f>
        <v>182194.40000000002</v>
      </c>
      <c r="F19" s="3">
        <f>0.02*F$5</f>
        <v>324461.03999999998</v>
      </c>
      <c r="G19" s="58" t="s">
        <v>928</v>
      </c>
      <c r="H19"/>
      <c r="I19"/>
      <c r="J19"/>
      <c r="K19"/>
    </row>
    <row r="20" spans="1:11" s="19" customFormat="1" ht="36" customHeight="1">
      <c r="A20" t="s">
        <v>50</v>
      </c>
      <c r="B20" s="3">
        <f>0.03*B$5</f>
        <v>11767.59</v>
      </c>
      <c r="C20" s="3">
        <f>0.07*C$5</f>
        <v>81750.13</v>
      </c>
      <c r="D20" s="3">
        <f>0.05*D$5</f>
        <v>167819.40000000002</v>
      </c>
      <c r="E20" s="3">
        <f>0.04*E$5</f>
        <v>291511.03999999998</v>
      </c>
      <c r="F20" s="3">
        <f>0.03*F$5</f>
        <v>486691.56</v>
      </c>
      <c r="G20" s="58" t="s">
        <v>929</v>
      </c>
      <c r="H20"/>
      <c r="I20"/>
      <c r="J20"/>
      <c r="K20"/>
    </row>
    <row r="21" spans="1:11" s="19" customFormat="1" ht="19.899999999999999" customHeight="1">
      <c r="A21" t="s">
        <v>748</v>
      </c>
      <c r="B21" s="3">
        <f>0.02*B$5</f>
        <v>7845.06</v>
      </c>
      <c r="C21" s="3">
        <f>0.06*C$5</f>
        <v>70071.539999999994</v>
      </c>
      <c r="D21" s="3">
        <f>0.04*D$5</f>
        <v>134255.51999999999</v>
      </c>
      <c r="E21" s="3">
        <f>0.035*E$5</f>
        <v>255072.16000000003</v>
      </c>
      <c r="F21" s="3">
        <f>0.03*F$5</f>
        <v>486691.56</v>
      </c>
      <c r="G21" s="58" t="s">
        <v>930</v>
      </c>
      <c r="H21"/>
      <c r="I21"/>
      <c r="J21"/>
      <c r="K21"/>
    </row>
    <row r="22" spans="1:11" s="19" customFormat="1" ht="19.899999999999999" customHeight="1">
      <c r="A22" t="s">
        <v>749</v>
      </c>
      <c r="B22" s="3">
        <f>Personnel!J30</f>
        <v>37500</v>
      </c>
      <c r="C22" s="3">
        <f>Personnel!K30</f>
        <v>234000</v>
      </c>
      <c r="D22" s="3">
        <f>Personnel!L30</f>
        <v>578656.00000000012</v>
      </c>
      <c r="E22" s="3">
        <f>Personnel!M30</f>
        <v>866145.28000000003</v>
      </c>
      <c r="F22" s="3">
        <f>Personnel!N30</f>
        <v>1462323.2000000002</v>
      </c>
      <c r="G22"/>
      <c r="H22"/>
      <c r="I22"/>
      <c r="J22"/>
      <c r="K22"/>
    </row>
    <row r="23" spans="1:11" s="19" customFormat="1" ht="19.899999999999999" customHeight="1">
      <c r="A23" t="s">
        <v>750</v>
      </c>
      <c r="B23" s="3">
        <f>Personnel!J36</f>
        <v>60000</v>
      </c>
      <c r="C23" s="3">
        <f>Personnel!K36</f>
        <v>156000</v>
      </c>
      <c r="D23" s="3">
        <f>Personnel!L36</f>
        <v>232544.00000000003</v>
      </c>
      <c r="E23" s="3">
        <f>Personnel!M36</f>
        <v>455569.92000000004</v>
      </c>
      <c r="F23" s="3">
        <f>Personnel!N36</f>
        <v>842298.16320000007</v>
      </c>
      <c r="G23"/>
      <c r="H23"/>
      <c r="I23"/>
      <c r="J23"/>
      <c r="K23"/>
    </row>
    <row r="24" spans="1:11" s="19" customFormat="1" ht="19.899999999999999" customHeight="1">
      <c r="A24" s="1" t="s">
        <v>751</v>
      </c>
      <c r="B24" s="110">
        <f>SUM(B18:B23)</f>
        <v>144570.35999999999</v>
      </c>
      <c r="C24" s="110">
        <f>SUM(C18:C23)</f>
        <v>763714.88</v>
      </c>
      <c r="D24" s="110">
        <f>SUM(D18:D23)</f>
        <v>1616733.12</v>
      </c>
      <c r="E24" s="110">
        <f>SUM(E18:E23)</f>
        <v>2779270.4000000004</v>
      </c>
      <c r="F24" s="110">
        <f>SUM(F18:F23)</f>
        <v>4900309.6831999999</v>
      </c>
      <c r="G24"/>
      <c r="H24"/>
      <c r="I24"/>
      <c r="J24"/>
      <c r="K24"/>
    </row>
    <row r="25" spans="1:11" s="19" customFormat="1" ht="19.899999999999999" customHeight="1">
      <c r="A25"/>
      <c r="B25"/>
      <c r="C25"/>
      <c r="D25"/>
      <c r="E25"/>
      <c r="F25"/>
      <c r="G25"/>
      <c r="H25"/>
      <c r="I25"/>
      <c r="J25"/>
      <c r="K25"/>
    </row>
    <row r="26" spans="1:11" s="21" customFormat="1" ht="28.15" customHeight="1">
      <c r="A26" s="111" t="s">
        <v>752</v>
      </c>
      <c r="B26"/>
      <c r="C26"/>
      <c r="D26"/>
      <c r="E26"/>
      <c r="F26"/>
      <c r="G26"/>
      <c r="H26"/>
      <c r="I26"/>
      <c r="J26"/>
      <c r="K26"/>
    </row>
    <row r="27" spans="1:11" s="19" customFormat="1" ht="19.899999999999999" customHeight="1">
      <c r="A27" t="s">
        <v>753</v>
      </c>
      <c r="B27" s="3">
        <v>0</v>
      </c>
      <c r="C27" s="3">
        <v>0</v>
      </c>
      <c r="D27" s="3">
        <v>0</v>
      </c>
      <c r="E27" s="3">
        <v>120000</v>
      </c>
      <c r="F27" s="3">
        <v>360000</v>
      </c>
      <c r="G27" s="58" t="s">
        <v>931</v>
      </c>
      <c r="H27"/>
      <c r="I27"/>
      <c r="J27"/>
      <c r="K27"/>
    </row>
    <row r="28" spans="1:11" s="19" customFormat="1" ht="36" customHeight="1">
      <c r="A28" t="s">
        <v>754</v>
      </c>
      <c r="B28" s="3">
        <v>35000</v>
      </c>
      <c r="C28" s="3">
        <v>80000</v>
      </c>
      <c r="D28" s="3">
        <v>150000</v>
      </c>
      <c r="E28" s="3">
        <v>250000</v>
      </c>
      <c r="F28" s="3">
        <v>400000</v>
      </c>
      <c r="G28"/>
      <c r="H28"/>
      <c r="I28"/>
      <c r="J28"/>
      <c r="K28"/>
    </row>
    <row r="29" spans="1:11" s="19" customFormat="1" ht="19.899999999999999" customHeight="1">
      <c r="A29" t="s">
        <v>755</v>
      </c>
      <c r="B29" s="3">
        <v>5000</v>
      </c>
      <c r="C29" s="3">
        <v>18000</v>
      </c>
      <c r="D29" s="3">
        <v>40000</v>
      </c>
      <c r="E29" s="3">
        <v>65000</v>
      </c>
      <c r="F29" s="3">
        <v>100000</v>
      </c>
      <c r="G29"/>
      <c r="H29"/>
      <c r="I29"/>
      <c r="J29"/>
      <c r="K29"/>
    </row>
    <row r="30" spans="1:11" s="19" customFormat="1" ht="19.899999999999999" customHeight="1">
      <c r="A30" t="s">
        <v>756</v>
      </c>
      <c r="B30" s="3">
        <f>Personnel!B46*2000</f>
        <v>11000</v>
      </c>
      <c r="C30" s="3">
        <f>Personnel!C46*2000</f>
        <v>27000</v>
      </c>
      <c r="D30" s="3">
        <f>Personnel!D46*2000</f>
        <v>50000</v>
      </c>
      <c r="E30" s="3">
        <f>Personnel!E46*2000</f>
        <v>84000</v>
      </c>
      <c r="F30" s="3">
        <f>Personnel!F46*2000</f>
        <v>126000</v>
      </c>
      <c r="G30"/>
      <c r="H30"/>
      <c r="I30"/>
      <c r="J30"/>
      <c r="K30"/>
    </row>
    <row r="31" spans="1:11" s="19" customFormat="1" ht="19.899999999999999" customHeight="1">
      <c r="A31" t="s">
        <v>757</v>
      </c>
      <c r="B31" s="3">
        <f>Personnel!J9+Personnel!J43</f>
        <v>150000</v>
      </c>
      <c r="C31" s="3">
        <f>Personnel!K9+Personnel!K43</f>
        <v>218400</v>
      </c>
      <c r="D31" s="3">
        <f>Personnel!L9+Personnel!L43</f>
        <v>383968.00000000006</v>
      </c>
      <c r="E31" s="3">
        <f>Personnel!M9+Personnel!M43</f>
        <v>697415.68000000005</v>
      </c>
      <c r="F31" s="3">
        <f>Personnel!N9+Personnel!N43</f>
        <v>725312.30720000016</v>
      </c>
      <c r="G31"/>
      <c r="H31"/>
      <c r="I31"/>
      <c r="J31"/>
      <c r="K31"/>
    </row>
    <row r="32" spans="1:11" s="19" customFormat="1" ht="19.899999999999999" customHeight="1">
      <c r="A32" s="1" t="s">
        <v>758</v>
      </c>
      <c r="B32" s="110">
        <f>SUM(B27:B31)</f>
        <v>201000</v>
      </c>
      <c r="C32" s="110">
        <f>SUM(C27:C31)</f>
        <v>343400</v>
      </c>
      <c r="D32" s="110">
        <f>SUM(D27:D31)</f>
        <v>623968</v>
      </c>
      <c r="E32" s="110">
        <f>SUM(E27:E31)</f>
        <v>1216415.6800000002</v>
      </c>
      <c r="F32" s="110">
        <f>SUM(F27:F31)</f>
        <v>1711312.3072000002</v>
      </c>
      <c r="G32"/>
      <c r="H32"/>
      <c r="I32"/>
      <c r="J32"/>
      <c r="K32"/>
    </row>
    <row r="33" spans="1:11" s="21" customFormat="1" ht="28.15" customHeight="1">
      <c r="A33"/>
      <c r="B33"/>
      <c r="C33"/>
      <c r="D33"/>
      <c r="E33"/>
      <c r="F33"/>
      <c r="G33"/>
      <c r="H33"/>
      <c r="I33"/>
      <c r="J33"/>
      <c r="K33"/>
    </row>
    <row r="34" spans="1:11" s="19" customFormat="1" ht="30" customHeight="1">
      <c r="A34" s="117" t="s">
        <v>51</v>
      </c>
      <c r="B34" s="118">
        <f>B15+B24+B32</f>
        <v>668718.18999999994</v>
      </c>
      <c r="C34" s="118">
        <f>C15+C24+C32</f>
        <v>2077979.37</v>
      </c>
      <c r="D34" s="118">
        <f>D15+D24+D32</f>
        <v>4313423.8000000007</v>
      </c>
      <c r="E34" s="118">
        <f>E15+E24+E32</f>
        <v>7688241.9199999999</v>
      </c>
      <c r="F34" s="118">
        <f>F15+F24+F32</f>
        <v>12900113.1664</v>
      </c>
      <c r="G34"/>
      <c r="H34"/>
      <c r="I34"/>
      <c r="J34"/>
      <c r="K34"/>
    </row>
    <row r="35" spans="1:11" s="32" customFormat="1" ht="39.65" customHeight="1">
      <c r="A35" t="s">
        <v>759</v>
      </c>
      <c r="B35" s="119">
        <f>B34/B$5</f>
        <v>1.7048134494828591</v>
      </c>
      <c r="C35" s="119">
        <f>C34/C$5</f>
        <v>1.7793067228149975</v>
      </c>
      <c r="D35" s="119">
        <f>D34/D$5</f>
        <v>1.2851386073362201</v>
      </c>
      <c r="E35" s="119">
        <f>E34/E$5</f>
        <v>1.0549503607136115</v>
      </c>
      <c r="F35" s="119">
        <f>F34/F$5</f>
        <v>0.79517178188173232</v>
      </c>
      <c r="G35"/>
      <c r="H35"/>
      <c r="I35"/>
      <c r="J35"/>
      <c r="K35"/>
    </row>
    <row r="36" spans="1:11" s="19" customFormat="1">
      <c r="A36" s="18"/>
      <c r="B36" s="22"/>
      <c r="C36" s="18"/>
      <c r="D36" s="18"/>
      <c r="E36" s="18"/>
      <c r="F36" s="18"/>
      <c r="G36" s="18"/>
      <c r="H36" s="18"/>
      <c r="I36" s="18"/>
      <c r="J36" s="18"/>
      <c r="K36" s="18"/>
    </row>
  </sheetData>
  <mergeCells count="1">
    <mergeCell ref="A1:G1"/>
  </mergeCells>
  <pageMargins left="0.25" right="0.25" top="0.75" bottom="0.75" header="0.3" footer="0.3"/>
  <pageSetup paperSize="3" scale="77" fitToWidth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D29E-EAB8-4ADD-9204-67691B3D2F47}">
  <sheetPr>
    <tabColor rgb="FFFFFF00"/>
    <pageSetUpPr autoPageBreaks="0"/>
  </sheetPr>
  <dimension ref="A1:I43"/>
  <sheetViews>
    <sheetView workbookViewId="0">
      <selection activeCell="C5" sqref="C5"/>
    </sheetView>
  </sheetViews>
  <sheetFormatPr defaultColWidth="8.81640625" defaultRowHeight="16.5"/>
  <cols>
    <col min="1" max="1" width="43.6328125" style="33" customWidth="1"/>
    <col min="2" max="6" width="24.7265625" style="41" customWidth="1"/>
    <col min="7" max="7" width="12.81640625" style="35" customWidth="1"/>
    <col min="8" max="8" width="27.7265625" style="33" bestFit="1" customWidth="1"/>
    <col min="9" max="9" width="12" style="33" customWidth="1"/>
    <col min="10" max="16384" width="8.81640625" style="33"/>
  </cols>
  <sheetData>
    <row r="1" spans="1:9" customFormat="1" ht="35" customHeight="1">
      <c r="A1" s="197" t="s">
        <v>774</v>
      </c>
      <c r="B1" s="197"/>
      <c r="C1" s="197"/>
      <c r="D1" s="197"/>
      <c r="E1" s="197"/>
      <c r="F1" s="197"/>
    </row>
    <row r="2" spans="1:9">
      <c r="A2" t="s">
        <v>73</v>
      </c>
      <c r="B2"/>
      <c r="C2"/>
      <c r="D2"/>
      <c r="E2"/>
      <c r="F2"/>
      <c r="G2"/>
      <c r="H2" s="61" t="s">
        <v>89</v>
      </c>
      <c r="I2" s="61">
        <v>365</v>
      </c>
    </row>
    <row r="3" spans="1:9">
      <c r="A3"/>
      <c r="B3"/>
      <c r="C3"/>
      <c r="D3"/>
      <c r="E3"/>
      <c r="F3"/>
      <c r="G3"/>
      <c r="H3" s="61" t="s">
        <v>90</v>
      </c>
      <c r="I3" s="61">
        <f>Assumptions!B87</f>
        <v>0.05</v>
      </c>
    </row>
    <row r="4" spans="1:9">
      <c r="A4"/>
      <c r="B4" s="115">
        <v>2026</v>
      </c>
      <c r="C4" s="115">
        <v>2027</v>
      </c>
      <c r="D4" s="115">
        <v>2028</v>
      </c>
      <c r="E4" s="115">
        <v>2029</v>
      </c>
      <c r="F4" s="115">
        <v>2030</v>
      </c>
      <c r="G4"/>
      <c r="H4" s="61" t="s">
        <v>91</v>
      </c>
      <c r="I4" s="61">
        <f>Assumptions!B88</f>
        <v>0.08</v>
      </c>
    </row>
    <row r="5" spans="1:9">
      <c r="A5"/>
      <c r="B5"/>
      <c r="C5"/>
      <c r="D5"/>
      <c r="E5"/>
      <c r="F5"/>
      <c r="G5"/>
      <c r="H5" s="61" t="s">
        <v>81</v>
      </c>
      <c r="I5" s="61">
        <f>Assumptions!B84</f>
        <v>45</v>
      </c>
    </row>
    <row r="6" spans="1:9">
      <c r="A6" s="111" t="s">
        <v>92</v>
      </c>
      <c r="B6"/>
      <c r="C6"/>
      <c r="D6"/>
      <c r="E6"/>
      <c r="F6"/>
      <c r="G6"/>
      <c r="H6" s="61" t="s">
        <v>82</v>
      </c>
      <c r="I6" s="61">
        <f>Assumptions!B85</f>
        <v>30</v>
      </c>
    </row>
    <row r="7" spans="1:9">
      <c r="A7" s="1" t="s">
        <v>93</v>
      </c>
      <c r="B7"/>
      <c r="C7"/>
      <c r="D7"/>
      <c r="E7"/>
      <c r="F7"/>
      <c r="G7"/>
      <c r="H7" s="61" t="s">
        <v>83</v>
      </c>
      <c r="I7" s="61">
        <f>Assumptions!B86</f>
        <v>3</v>
      </c>
    </row>
    <row r="8" spans="1:9">
      <c r="A8" t="s">
        <v>94</v>
      </c>
      <c r="B8" s="120">
        <f>'Cash Flow Statement'!B48</f>
        <v>212432.04530273983</v>
      </c>
      <c r="C8" s="120">
        <f>'Cash Flow Statement'!C48</f>
        <v>2242807.5351</v>
      </c>
      <c r="D8" s="120">
        <f>'Cash Flow Statement'!D48</f>
        <v>1157731.0626794514</v>
      </c>
      <c r="E8" s="120">
        <f>'Cash Flow Statement'!E48</f>
        <v>15388474.421541151</v>
      </c>
      <c r="F8" s="120">
        <f>'Cash Flow Statement'!F48</f>
        <v>17747144.111822635</v>
      </c>
      <c r="G8"/>
      <c r="H8" s="61" t="s">
        <v>88</v>
      </c>
      <c r="I8" s="61">
        <f>Assumptions!B89</f>
        <v>0.03</v>
      </c>
    </row>
    <row r="9" spans="1:9">
      <c r="A9" t="s">
        <v>95</v>
      </c>
      <c r="B9" s="120">
        <f>'Income Statement'!B10*$I$5/$I$2</f>
        <v>48359.95890410959</v>
      </c>
      <c r="C9" s="120">
        <f>'Income Statement'!C10*$I$5/$I$2</f>
        <v>143982.61643835617</v>
      </c>
      <c r="D9" s="120">
        <f>'Income Statement'!D10*$I$5/$I$2</f>
        <v>413801.26027397258</v>
      </c>
      <c r="E9" s="120">
        <f>'Income Statement'!E10*$I$5/$I$2</f>
        <v>898492.93150684936</v>
      </c>
      <c r="F9" s="120">
        <f>'Income Statement'!F10*$I$5/$I$2</f>
        <v>2000102.3013698631</v>
      </c>
      <c r="G9"/>
      <c r="H9" s="61" t="s">
        <v>775</v>
      </c>
      <c r="I9" s="61">
        <f>Assumptions!B90</f>
        <v>5</v>
      </c>
    </row>
    <row r="10" spans="1:9">
      <c r="A10" t="s">
        <v>96</v>
      </c>
      <c r="B10" s="120">
        <f>'Income Statement'!B23*$I$3</f>
        <v>36073.409500000002</v>
      </c>
      <c r="C10" s="120">
        <f>'Income Statement'!C23*$I$3</f>
        <v>111152.96850000002</v>
      </c>
      <c r="D10" s="120">
        <f>'Income Statement'!D23*$I$3</f>
        <v>227265.94200000004</v>
      </c>
      <c r="E10" s="120">
        <f>'Income Statement'!E23*$I$3</f>
        <v>399142.19008000003</v>
      </c>
      <c r="F10" s="120">
        <f>'Income Statement'!F23*$I$3</f>
        <v>663840.38113600016</v>
      </c>
      <c r="G10"/>
      <c r="H10"/>
      <c r="I10"/>
    </row>
    <row r="11" spans="1:9">
      <c r="A11" s="1" t="s">
        <v>98</v>
      </c>
      <c r="B11" s="121">
        <f>SUM(B8:B10)</f>
        <v>296865.41370684945</v>
      </c>
      <c r="C11" s="121">
        <f>SUM(C8:C10)</f>
        <v>2497943.1200383562</v>
      </c>
      <c r="D11" s="121">
        <f>SUM(D8:D10)</f>
        <v>1798798.264953424</v>
      </c>
      <c r="E11" s="121">
        <f>SUM(E8:E10)</f>
        <v>16686109.543128001</v>
      </c>
      <c r="F11" s="121">
        <f>SUM(F8:F10)</f>
        <v>20411086.7943285</v>
      </c>
      <c r="G11"/>
      <c r="H11"/>
      <c r="I11"/>
    </row>
    <row r="12" spans="1:9">
      <c r="A12"/>
      <c r="B12"/>
      <c r="C12"/>
      <c r="D12"/>
      <c r="E12"/>
      <c r="F12"/>
      <c r="G12"/>
      <c r="H12"/>
      <c r="I12"/>
    </row>
    <row r="13" spans="1:9">
      <c r="A13" s="1" t="s">
        <v>99</v>
      </c>
      <c r="B13"/>
      <c r="C13"/>
      <c r="D13"/>
      <c r="E13"/>
      <c r="F13"/>
      <c r="G13"/>
      <c r="H13"/>
      <c r="I13"/>
    </row>
    <row r="14" spans="1:9">
      <c r="A14" t="s">
        <v>776</v>
      </c>
      <c r="B14" s="120">
        <f>'Income Statement'!B10*$I$8</f>
        <v>11767.59</v>
      </c>
      <c r="C14" s="120">
        <f>B14+'Income Statement'!C10*$I$8</f>
        <v>46803.360000000001</v>
      </c>
      <c r="D14" s="120">
        <f>C14+'Income Statement'!D10*$I$8</f>
        <v>147495</v>
      </c>
      <c r="E14" s="120">
        <f>D14+'Income Statement'!E10*$I$8</f>
        <v>366128.28</v>
      </c>
      <c r="F14" s="120">
        <f>E14+'Income Statement'!F10*$I$8</f>
        <v>852819.84000000008</v>
      </c>
      <c r="G14"/>
      <c r="H14"/>
      <c r="I14"/>
    </row>
    <row r="15" spans="1:9">
      <c r="A15" s="1" t="s">
        <v>100</v>
      </c>
      <c r="B15" s="120">
        <f>'Income Statement'!B29</f>
        <v>2353.518</v>
      </c>
      <c r="C15" s="120">
        <f>B15+'Income Statement'!C29</f>
        <v>9360.6719999999987</v>
      </c>
      <c r="D15" s="120">
        <f>C15+'Income Statement'!D29</f>
        <v>29499</v>
      </c>
      <c r="E15" s="120">
        <f>D15+'Income Statement'!E29</f>
        <v>73225.656000000003</v>
      </c>
      <c r="F15" s="120">
        <f>E15+'Income Statement'!F29</f>
        <v>170563.96799999999</v>
      </c>
      <c r="G15"/>
      <c r="H15"/>
      <c r="I15"/>
    </row>
    <row r="16" spans="1:9">
      <c r="A16" t="s">
        <v>101</v>
      </c>
      <c r="B16" s="120">
        <f>B14-B15</f>
        <v>9414.0720000000001</v>
      </c>
      <c r="C16" s="120">
        <f>C14-C15</f>
        <v>37442.688000000002</v>
      </c>
      <c r="D16" s="120">
        <f>D14-D15</f>
        <v>117996</v>
      </c>
      <c r="E16" s="120">
        <f>E14-E15</f>
        <v>292902.62400000001</v>
      </c>
      <c r="F16" s="120">
        <f>F14-F15</f>
        <v>682255.87200000009</v>
      </c>
      <c r="G16"/>
      <c r="H16"/>
      <c r="I16"/>
    </row>
    <row r="17" spans="1:6">
      <c r="A17" s="1" t="s">
        <v>777</v>
      </c>
      <c r="B17" s="120">
        <f>Assumptions!B99</f>
        <v>40000</v>
      </c>
      <c r="C17" s="120">
        <f>B17+Assumptions!C99</f>
        <v>115000</v>
      </c>
      <c r="D17" s="120">
        <f>C17+Assumptions!D99</f>
        <v>190000</v>
      </c>
      <c r="E17" s="120">
        <f>D17+Assumptions!E99</f>
        <v>240000</v>
      </c>
      <c r="F17" s="120">
        <f>E17+Assumptions!F99</f>
        <v>290000</v>
      </c>
    </row>
    <row r="18" spans="1:6">
      <c r="A18" t="s">
        <v>778</v>
      </c>
      <c r="B18" s="120">
        <f>B17/$I$9</f>
        <v>8000</v>
      </c>
      <c r="C18" s="120">
        <f>B18+C17/$I$9</f>
        <v>31000</v>
      </c>
      <c r="D18" s="120">
        <f>C18+D17/$I$9</f>
        <v>69000</v>
      </c>
      <c r="E18" s="120">
        <f>D18+E17/$I$9</f>
        <v>117000</v>
      </c>
      <c r="F18" s="120">
        <f>E18+F17/$I$9</f>
        <v>175000</v>
      </c>
    </row>
    <row r="19" spans="1:6">
      <c r="A19" s="1" t="s">
        <v>779</v>
      </c>
      <c r="B19" s="120">
        <f>B17-B18</f>
        <v>32000</v>
      </c>
      <c r="C19" s="120">
        <f>C17-C18</f>
        <v>84000</v>
      </c>
      <c r="D19" s="120">
        <f>D17-D18</f>
        <v>121000</v>
      </c>
      <c r="E19" s="120">
        <f>E17-E18</f>
        <v>123000</v>
      </c>
      <c r="F19" s="120">
        <f>F17-F18</f>
        <v>115000</v>
      </c>
    </row>
    <row r="20" spans="1:6">
      <c r="A20" s="1" t="s">
        <v>102</v>
      </c>
      <c r="B20" s="121">
        <f>B16+B19</f>
        <v>41414.072</v>
      </c>
      <c r="C20" s="121">
        <f>C16+C19</f>
        <v>121442.68799999999</v>
      </c>
      <c r="D20" s="121">
        <f>D16+D19</f>
        <v>238996</v>
      </c>
      <c r="E20" s="121">
        <f>E16+E19</f>
        <v>415902.62400000001</v>
      </c>
      <c r="F20" s="121">
        <f>F16+F19</f>
        <v>797255.87200000009</v>
      </c>
    </row>
    <row r="21" spans="1:6">
      <c r="A21"/>
      <c r="B21"/>
      <c r="C21"/>
      <c r="D21"/>
      <c r="E21"/>
      <c r="F21"/>
    </row>
    <row r="22" spans="1:6">
      <c r="A22" s="117" t="s">
        <v>103</v>
      </c>
      <c r="B22" s="122">
        <f>B11+B20</f>
        <v>338279.48570684943</v>
      </c>
      <c r="C22" s="122">
        <f>C11+C20</f>
        <v>2619385.8080383562</v>
      </c>
      <c r="D22" s="122">
        <f>D11+D20</f>
        <v>2037794.264953424</v>
      </c>
      <c r="E22" s="122">
        <f>E11+E20</f>
        <v>17102012.167128</v>
      </c>
      <c r="F22" s="122">
        <f>F11+F20</f>
        <v>21208342.666328501</v>
      </c>
    </row>
    <row r="23" spans="1:6">
      <c r="A23"/>
      <c r="B23"/>
      <c r="C23"/>
      <c r="D23"/>
      <c r="E23"/>
      <c r="F23"/>
    </row>
    <row r="24" spans="1:6">
      <c r="A24" s="111" t="s">
        <v>104</v>
      </c>
      <c r="B24"/>
      <c r="C24"/>
      <c r="D24"/>
      <c r="E24"/>
      <c r="F24"/>
    </row>
    <row r="25" spans="1:6">
      <c r="A25" s="1" t="s">
        <v>105</v>
      </c>
      <c r="B25"/>
      <c r="C25"/>
      <c r="D25"/>
      <c r="E25"/>
      <c r="F25"/>
    </row>
    <row r="26" spans="1:6">
      <c r="A26" t="s">
        <v>106</v>
      </c>
      <c r="B26" s="120">
        <f>'Income Statement'!B14*$I$6/$I$2</f>
        <v>3464.1055068493151</v>
      </c>
      <c r="C26" s="120">
        <f>'Income Statement'!C14*$I$6/$I$2</f>
        <v>10059.478438356164</v>
      </c>
      <c r="D26" s="120">
        <f>'Income Statement'!D14*$I$6/$I$2</f>
        <v>29307.845753424659</v>
      </c>
      <c r="E26" s="120">
        <f>'Income Statement'!E14*$I$6/$I$2</f>
        <v>64489.313999999998</v>
      </c>
      <c r="F26" s="120">
        <f>'Income Statement'!F14*$I$6/$I$2</f>
        <v>149447.50142465753</v>
      </c>
    </row>
    <row r="27" spans="1:6">
      <c r="A27" t="s">
        <v>107</v>
      </c>
      <c r="B27" s="120">
        <f>'Income Statement'!B23*$I$4</f>
        <v>57717.455199999997</v>
      </c>
      <c r="C27" s="120">
        <f>'Income Statement'!C23*$I$4</f>
        <v>177844.74960000001</v>
      </c>
      <c r="D27" s="120">
        <f>'Income Statement'!D23*$I$4</f>
        <v>363625.50720000005</v>
      </c>
      <c r="E27" s="120">
        <f>'Income Statement'!E23*$I$4</f>
        <v>638627.504128</v>
      </c>
      <c r="F27" s="120">
        <f>'Income Statement'!F23*$I$4</f>
        <v>1062144.6098176001</v>
      </c>
    </row>
    <row r="28" spans="1:6">
      <c r="A28" t="s">
        <v>108</v>
      </c>
      <c r="B28" s="120">
        <f>'Income Statement'!B10*$I$7/12</f>
        <v>98063.25</v>
      </c>
      <c r="C28" s="120">
        <f>'Income Statement'!C10*$I$7/12</f>
        <v>291964.75</v>
      </c>
      <c r="D28" s="120">
        <f>'Income Statement'!D10*$I$7/12</f>
        <v>839097</v>
      </c>
      <c r="E28" s="120">
        <f>'Income Statement'!E10*$I$7/12</f>
        <v>1821944</v>
      </c>
      <c r="F28" s="120">
        <f>'Income Statement'!F10*$I$7/12</f>
        <v>4055763</v>
      </c>
    </row>
    <row r="29" spans="1:6">
      <c r="A29" s="1" t="s">
        <v>109</v>
      </c>
      <c r="B29" s="121">
        <f>SUM(B26:B28)</f>
        <v>159244.81070684933</v>
      </c>
      <c r="C29" s="121">
        <f>SUM(C26:C28)</f>
        <v>479868.97803835617</v>
      </c>
      <c r="D29" s="121">
        <f>SUM(D26:D28)</f>
        <v>1232030.3529534247</v>
      </c>
      <c r="E29" s="121">
        <f>SUM(E26:E28)</f>
        <v>2525060.818128</v>
      </c>
      <c r="F29" s="121">
        <f>SUM(F26:F28)</f>
        <v>5267355.1112422571</v>
      </c>
    </row>
    <row r="30" spans="1:6">
      <c r="A30"/>
      <c r="B30"/>
      <c r="C30"/>
      <c r="D30"/>
      <c r="E30"/>
      <c r="F30"/>
    </row>
    <row r="31" spans="1:6">
      <c r="A31" t="s">
        <v>110</v>
      </c>
      <c r="B31" s="120">
        <v>0</v>
      </c>
      <c r="C31" s="120">
        <v>0</v>
      </c>
      <c r="D31" s="120">
        <v>0</v>
      </c>
      <c r="E31" s="120">
        <v>0</v>
      </c>
      <c r="F31" s="120">
        <v>0</v>
      </c>
    </row>
    <row r="32" spans="1:6">
      <c r="A32" s="1" t="s">
        <v>111</v>
      </c>
      <c r="B32" s="121">
        <f>B31</f>
        <v>0</v>
      </c>
      <c r="C32" s="121">
        <f>C31</f>
        <v>0</v>
      </c>
      <c r="D32" s="121">
        <f>D31</f>
        <v>0</v>
      </c>
      <c r="E32" s="121">
        <f>E31</f>
        <v>0</v>
      </c>
      <c r="F32" s="121">
        <f>F31</f>
        <v>0</v>
      </c>
    </row>
    <row r="34" spans="1:6">
      <c r="A34" s="117" t="s">
        <v>112</v>
      </c>
      <c r="B34" s="122">
        <f>B29+B32</f>
        <v>159244.81070684933</v>
      </c>
      <c r="C34" s="122">
        <f>C29+C32</f>
        <v>479868.97803835617</v>
      </c>
      <c r="D34" s="122">
        <f>D29+D32</f>
        <v>1232030.3529534247</v>
      </c>
      <c r="E34" s="122">
        <f>E29+E32</f>
        <v>2525060.818128</v>
      </c>
      <c r="F34" s="122">
        <f>F29+F32</f>
        <v>5267355.1112422571</v>
      </c>
    </row>
    <row r="35" spans="1:6">
      <c r="A35"/>
      <c r="B35"/>
      <c r="C35"/>
      <c r="D35"/>
      <c r="E35"/>
      <c r="F35"/>
    </row>
    <row r="36" spans="1:6">
      <c r="A36" s="111" t="s">
        <v>113</v>
      </c>
      <c r="B36"/>
      <c r="C36"/>
      <c r="D36"/>
      <c r="E36"/>
      <c r="F36"/>
    </row>
    <row r="37" spans="1:6">
      <c r="A37" t="s">
        <v>780</v>
      </c>
      <c r="B37" s="120">
        <f>Assumptions!B103+'Income Statement'!B22</f>
        <v>552750</v>
      </c>
      <c r="C37" s="120">
        <f>B37+Assumptions!B104+'Income Statement'!C22</f>
        <v>3697830</v>
      </c>
      <c r="D37" s="120">
        <f>C37+'Income Statement'!D22</f>
        <v>3929725.04</v>
      </c>
      <c r="E37" s="120">
        <f>D37+Assumptions!B105+'Income Statement'!E22</f>
        <v>19224326.921599999</v>
      </c>
      <c r="F37" s="120">
        <f>E37+'Income Statement'!F22</f>
        <v>19601021.377919998</v>
      </c>
    </row>
    <row r="38" spans="1:6">
      <c r="A38" t="s">
        <v>114</v>
      </c>
      <c r="B38" s="120">
        <f>'Income Statement'!B37</f>
        <v>-373715.3249999999</v>
      </c>
      <c r="C38" s="120">
        <f>B38+'Income Statement'!C37</f>
        <v>-1558313.1700000002</v>
      </c>
      <c r="D38" s="120">
        <f>C38+'Income Statement'!D37</f>
        <v>-3123961.128000001</v>
      </c>
      <c r="E38" s="120">
        <f>D38+'Income Statement'!E37</f>
        <v>-4647375.5726000005</v>
      </c>
      <c r="F38" s="120">
        <f>E38+'Income Statement'!F37</f>
        <v>-3660033.822833762</v>
      </c>
    </row>
    <row r="39" spans="1:6">
      <c r="A39" s="1" t="s">
        <v>781</v>
      </c>
      <c r="B39" s="121">
        <f>B37+B38</f>
        <v>179034.6750000001</v>
      </c>
      <c r="C39" s="121">
        <f>C37+C38</f>
        <v>2139516.83</v>
      </c>
      <c r="D39" s="121">
        <f>D37+D38</f>
        <v>805763.91199999908</v>
      </c>
      <c r="E39" s="121">
        <f>E37+E38</f>
        <v>14576951.348999999</v>
      </c>
      <c r="F39" s="121">
        <f>F37+F38</f>
        <v>15940987.555086236</v>
      </c>
    </row>
    <row r="40" spans="1:6">
      <c r="A40"/>
      <c r="B40"/>
      <c r="C40"/>
      <c r="D40"/>
      <c r="E40"/>
      <c r="F40"/>
    </row>
    <row r="41" spans="1:6">
      <c r="A41" s="117" t="s">
        <v>782</v>
      </c>
      <c r="B41" s="122">
        <f>B34+B39</f>
        <v>338279.48570684943</v>
      </c>
      <c r="C41" s="122">
        <f>C34+C39</f>
        <v>2619385.8080383562</v>
      </c>
      <c r="D41" s="122">
        <f>D34+D39</f>
        <v>2037794.2649534238</v>
      </c>
      <c r="E41" s="122">
        <f>E34+E39</f>
        <v>17102012.167128</v>
      </c>
      <c r="F41" s="122">
        <f>F34+F39</f>
        <v>21208342.666328494</v>
      </c>
    </row>
    <row r="42" spans="1:6">
      <c r="A42"/>
      <c r="B42"/>
      <c r="C42"/>
      <c r="D42"/>
      <c r="E42"/>
      <c r="F42"/>
    </row>
    <row r="43" spans="1:6">
      <c r="A43" s="1" t="s">
        <v>115</v>
      </c>
      <c r="B43" s="121">
        <f>B22-B41</f>
        <v>0</v>
      </c>
      <c r="C43" s="121">
        <f>C22-C41</f>
        <v>0</v>
      </c>
      <c r="D43" s="121">
        <f>D22-D41</f>
        <v>0</v>
      </c>
      <c r="E43" s="121">
        <f>E22-E41</f>
        <v>0</v>
      </c>
      <c r="F43" s="121">
        <f>F22-F41</f>
        <v>0</v>
      </c>
    </row>
  </sheetData>
  <mergeCells count="1">
    <mergeCell ref="A1:F1"/>
  </mergeCells>
  <phoneticPr fontId="3" type="noConversion"/>
  <pageMargins left="0.75" right="0.75" top="1" bottom="1" header="0.5" footer="0.5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A428-6F0A-41F5-B08B-7871A3CAA070}">
  <sheetPr>
    <tabColor rgb="FFFFFF00"/>
  </sheetPr>
  <dimension ref="A1:F62"/>
  <sheetViews>
    <sheetView workbookViewId="0">
      <selection activeCell="B12" sqref="B12"/>
    </sheetView>
  </sheetViews>
  <sheetFormatPr defaultRowHeight="14.5"/>
  <cols>
    <col min="1" max="1" width="43.6328125" customWidth="1"/>
    <col min="2" max="6" width="23.54296875" customWidth="1"/>
  </cols>
  <sheetData>
    <row r="1" spans="1:6" ht="35" customHeight="1">
      <c r="A1" s="197" t="s">
        <v>783</v>
      </c>
      <c r="B1" s="197"/>
      <c r="C1" s="197"/>
      <c r="D1" s="197"/>
      <c r="E1" s="197"/>
      <c r="F1" s="197"/>
    </row>
    <row r="2" spans="1:6">
      <c r="A2" t="s">
        <v>73</v>
      </c>
    </row>
    <row r="5" spans="1:6">
      <c r="B5" s="115">
        <v>2026</v>
      </c>
      <c r="C5" s="115">
        <v>2027</v>
      </c>
      <c r="D5" s="115">
        <v>2028</v>
      </c>
      <c r="E5" s="115">
        <v>2029</v>
      </c>
      <c r="F5" s="115">
        <v>2030</v>
      </c>
    </row>
    <row r="7" spans="1:6">
      <c r="A7" s="111" t="s">
        <v>118</v>
      </c>
    </row>
    <row r="9" spans="1:6">
      <c r="A9" t="s">
        <v>47</v>
      </c>
      <c r="B9" s="120">
        <f>'Income Statement'!B37</f>
        <v>-373715.3249999999</v>
      </c>
      <c r="C9" s="120">
        <f>'Income Statement'!C37</f>
        <v>-1184597.8450000002</v>
      </c>
      <c r="D9" s="120">
        <f>'Income Statement'!D37</f>
        <v>-1565647.9580000008</v>
      </c>
      <c r="E9" s="120">
        <f>'Income Statement'!E37</f>
        <v>-1523414.4445999996</v>
      </c>
      <c r="F9" s="120">
        <f>'Income Statement'!F37</f>
        <v>987341.74976623838</v>
      </c>
    </row>
    <row r="11" spans="1:6">
      <c r="A11" s="1" t="s">
        <v>784</v>
      </c>
    </row>
    <row r="12" spans="1:6">
      <c r="A12" t="s">
        <v>785</v>
      </c>
      <c r="B12" s="120">
        <f>'Income Statement'!B29+'Balance Sheet'!B18</f>
        <v>10353.518</v>
      </c>
      <c r="C12" s="120">
        <f>'Income Statement'!C29+('Balance Sheet'!C18-'Balance Sheet'!B18)</f>
        <v>30007.153999999999</v>
      </c>
      <c r="D12" s="120">
        <f>'Income Statement'!D29+('Balance Sheet'!D18-'Balance Sheet'!C18)</f>
        <v>58138.328000000001</v>
      </c>
      <c r="E12" s="120">
        <f>'Income Statement'!E29+('Balance Sheet'!E18-'Balance Sheet'!D18)</f>
        <v>91726.656000000003</v>
      </c>
      <c r="F12" s="120">
        <f>'Income Statement'!F29+('Balance Sheet'!F18-'Balance Sheet'!E18)</f>
        <v>155338.31200000001</v>
      </c>
    </row>
    <row r="13" spans="1:6">
      <c r="A13" t="s">
        <v>786</v>
      </c>
      <c r="B13" s="120">
        <f>Personnel!J47*Assumptions!B100</f>
        <v>52750</v>
      </c>
      <c r="C13" s="120">
        <f>Personnel!K47*Assumptions!C100</f>
        <v>145080</v>
      </c>
      <c r="D13" s="120">
        <f>Personnel!L47*Assumptions!D100</f>
        <v>231895.04000000004</v>
      </c>
      <c r="E13" s="120">
        <f>Personnel!M47*Assumptions!E100</f>
        <v>294601.88160000002</v>
      </c>
      <c r="F13" s="120">
        <f>Personnel!N47*Assumptions!F100</f>
        <v>376694.45632000011</v>
      </c>
    </row>
    <row r="15" spans="1:6">
      <c r="A15" s="1" t="s">
        <v>787</v>
      </c>
    </row>
    <row r="16" spans="1:6">
      <c r="A16" t="s">
        <v>788</v>
      </c>
      <c r="B16" s="120">
        <f>-'Balance Sheet'!B9</f>
        <v>-48359.95890410959</v>
      </c>
      <c r="C16" s="120">
        <f>-('Balance Sheet'!C9-'Balance Sheet'!B9)</f>
        <v>-95622.65753424658</v>
      </c>
      <c r="D16" s="120">
        <f>-('Balance Sheet'!D9-'Balance Sheet'!C9)</f>
        <v>-269818.64383561641</v>
      </c>
      <c r="E16" s="120">
        <f>-('Balance Sheet'!E9-'Balance Sheet'!D9)</f>
        <v>-484691.67123287678</v>
      </c>
      <c r="F16" s="120">
        <f>-('Balance Sheet'!F9-'Balance Sheet'!E9)</f>
        <v>-1101609.3698630137</v>
      </c>
    </row>
    <row r="17" spans="1:6">
      <c r="A17" t="s">
        <v>789</v>
      </c>
      <c r="B17" s="120">
        <f>-'Balance Sheet'!B10</f>
        <v>-36073.409500000002</v>
      </c>
      <c r="C17" s="120">
        <f>-('Balance Sheet'!C10-'Balance Sheet'!B10)</f>
        <v>-75079.559000000008</v>
      </c>
      <c r="D17" s="120">
        <f>-('Balance Sheet'!D10-'Balance Sheet'!C10)</f>
        <v>-116112.97350000002</v>
      </c>
      <c r="E17" s="120">
        <f>-('Balance Sheet'!E10-'Balance Sheet'!D10)</f>
        <v>-171876.24807999999</v>
      </c>
      <c r="F17" s="120">
        <f>-('Balance Sheet'!F10-'Balance Sheet'!E10)</f>
        <v>-264698.19105600013</v>
      </c>
    </row>
    <row r="18" spans="1:6">
      <c r="A18" t="s">
        <v>790</v>
      </c>
      <c r="B18" s="120">
        <f>'Balance Sheet'!B26</f>
        <v>3464.1055068493151</v>
      </c>
      <c r="C18" s="120">
        <f>'Balance Sheet'!C26-'Balance Sheet'!B26</f>
        <v>6595.3729315068485</v>
      </c>
      <c r="D18" s="120">
        <f>'Balance Sheet'!D26-'Balance Sheet'!C26</f>
        <v>19248.367315068495</v>
      </c>
      <c r="E18" s="120">
        <f>'Balance Sheet'!E26-'Balance Sheet'!D26</f>
        <v>35181.468246575343</v>
      </c>
      <c r="F18" s="120">
        <f>'Balance Sheet'!F26-'Balance Sheet'!E26</f>
        <v>84958.187424657532</v>
      </c>
    </row>
    <row r="19" spans="1:6">
      <c r="A19" t="s">
        <v>791</v>
      </c>
      <c r="B19" s="120">
        <f>'Balance Sheet'!B27</f>
        <v>57717.455199999997</v>
      </c>
      <c r="C19" s="120">
        <f>'Balance Sheet'!C27-'Balance Sheet'!B27</f>
        <v>120127.29440000001</v>
      </c>
      <c r="D19" s="120">
        <f>'Balance Sheet'!D27-'Balance Sheet'!C27</f>
        <v>185780.75760000004</v>
      </c>
      <c r="E19" s="120">
        <f>'Balance Sheet'!E27-'Balance Sheet'!D27</f>
        <v>275001.99692799995</v>
      </c>
      <c r="F19" s="120">
        <f>'Balance Sheet'!F27-'Balance Sheet'!E27</f>
        <v>423517.10568960011</v>
      </c>
    </row>
    <row r="20" spans="1:6">
      <c r="A20" t="s">
        <v>792</v>
      </c>
      <c r="B20" s="120">
        <f>'Balance Sheet'!B28</f>
        <v>98063.25</v>
      </c>
      <c r="C20" s="120">
        <f>'Balance Sheet'!C28-'Balance Sheet'!B28</f>
        <v>193901.5</v>
      </c>
      <c r="D20" s="120">
        <f>'Balance Sheet'!D28-'Balance Sheet'!C28</f>
        <v>547132.25</v>
      </c>
      <c r="E20" s="120">
        <f>'Balance Sheet'!E28-'Balance Sheet'!D28</f>
        <v>982847</v>
      </c>
      <c r="F20" s="120">
        <f>'Balance Sheet'!F28-'Balance Sheet'!E28</f>
        <v>2233819</v>
      </c>
    </row>
    <row r="22" spans="1:6">
      <c r="A22" s="1" t="s">
        <v>793</v>
      </c>
      <c r="B22" s="121">
        <f>B9+B12+B13+SUM(B16:B20)</f>
        <v>-235800.3646972602</v>
      </c>
      <c r="C22" s="121">
        <f>C9+C12+C13+SUM(C16:C20)</f>
        <v>-859588.74020273983</v>
      </c>
      <c r="D22" s="121">
        <f>D9+D12+D13+SUM(D16:D20)</f>
        <v>-909384.83242054866</v>
      </c>
      <c r="E22" s="121">
        <f>E9+E12+E13+SUM(E16:E20)</f>
        <v>-500623.3611383012</v>
      </c>
      <c r="F22" s="121">
        <f>F9+F12+F13+SUM(F16:F20)</f>
        <v>2895361.2502814825</v>
      </c>
    </row>
    <row r="24" spans="1:6">
      <c r="A24" s="111" t="s">
        <v>119</v>
      </c>
    </row>
    <row r="26" spans="1:6">
      <c r="A26" t="s">
        <v>120</v>
      </c>
      <c r="B26" s="120">
        <f>-'Income Statement'!B10*Assumptions!$B$89</f>
        <v>-11767.59</v>
      </c>
      <c r="C26" s="120">
        <f>-'Income Statement'!C10*Assumptions!$B$89</f>
        <v>-35035.769999999997</v>
      </c>
      <c r="D26" s="120">
        <f>-'Income Statement'!D10*Assumptions!$B$89</f>
        <v>-100691.64</v>
      </c>
      <c r="E26" s="120">
        <f>-'Income Statement'!E10*Assumptions!$B$89</f>
        <v>-218633.28</v>
      </c>
      <c r="F26" s="120">
        <f>-'Income Statement'!F10*Assumptions!$B$89</f>
        <v>-486691.56</v>
      </c>
    </row>
    <row r="27" spans="1:6">
      <c r="A27" t="s">
        <v>794</v>
      </c>
      <c r="B27" s="120">
        <f>-Assumptions!B99</f>
        <v>-40000</v>
      </c>
      <c r="C27" s="120">
        <f>-Assumptions!C99</f>
        <v>-75000</v>
      </c>
      <c r="D27" s="120">
        <f>-Assumptions!D99</f>
        <v>-75000</v>
      </c>
      <c r="E27" s="120">
        <f>-Assumptions!E99</f>
        <v>-50000</v>
      </c>
      <c r="F27" s="120">
        <f>-Assumptions!F99</f>
        <v>-50000</v>
      </c>
    </row>
    <row r="29" spans="1:6">
      <c r="A29" s="1" t="s">
        <v>795</v>
      </c>
      <c r="B29" s="121">
        <f>B26+B27</f>
        <v>-51767.59</v>
      </c>
      <c r="C29" s="121">
        <f>C26+C27</f>
        <v>-110035.76999999999</v>
      </c>
      <c r="D29" s="121">
        <f>D26+D27</f>
        <v>-175691.64</v>
      </c>
      <c r="E29" s="121">
        <f>E26+E27</f>
        <v>-268633.28000000003</v>
      </c>
      <c r="F29" s="121">
        <f>F26+F27</f>
        <v>-536691.56000000006</v>
      </c>
    </row>
    <row r="31" spans="1:6">
      <c r="A31" s="111" t="s">
        <v>121</v>
      </c>
    </row>
    <row r="33" spans="1:6">
      <c r="A33" t="s">
        <v>362</v>
      </c>
      <c r="B33" s="120">
        <f>Assumptions!B103</f>
        <v>500000</v>
      </c>
      <c r="C33" s="120">
        <f>Assumptions!B104</f>
        <v>3000000</v>
      </c>
      <c r="D33" s="120">
        <v>0</v>
      </c>
      <c r="E33" s="120">
        <f>Assumptions!B105</f>
        <v>15000000</v>
      </c>
      <c r="F33" s="120">
        <v>0</v>
      </c>
    </row>
    <row r="34" spans="1:6">
      <c r="A34" t="s">
        <v>796</v>
      </c>
      <c r="B34" s="120">
        <v>0</v>
      </c>
      <c r="C34" s="120">
        <v>0</v>
      </c>
      <c r="D34" s="120">
        <v>0</v>
      </c>
      <c r="E34" s="120">
        <v>0</v>
      </c>
      <c r="F34" s="120">
        <v>0</v>
      </c>
    </row>
    <row r="36" spans="1:6">
      <c r="A36" s="1" t="s">
        <v>797</v>
      </c>
      <c r="B36" s="121">
        <f>B33+B34</f>
        <v>500000</v>
      </c>
      <c r="C36" s="121">
        <f>C33+C34</f>
        <v>3000000</v>
      </c>
      <c r="D36" s="121">
        <f>D33+D34</f>
        <v>0</v>
      </c>
      <c r="E36" s="121">
        <f>E33+E34</f>
        <v>15000000</v>
      </c>
      <c r="F36" s="121">
        <f>F33+F34</f>
        <v>0</v>
      </c>
    </row>
    <row r="38" spans="1:6">
      <c r="A38" s="111" t="s">
        <v>798</v>
      </c>
    </row>
    <row r="40" spans="1:6">
      <c r="A40" s="1" t="s">
        <v>799</v>
      </c>
      <c r="B40" s="121">
        <f>B22+B29+B36</f>
        <v>212432.04530273983</v>
      </c>
      <c r="C40" s="121">
        <f>C22+C29+C36</f>
        <v>2030375.4897972601</v>
      </c>
      <c r="D40" s="121">
        <f>D22+D29+D36</f>
        <v>-1085076.4724205486</v>
      </c>
      <c r="E40" s="121">
        <f>E22+E29+E36</f>
        <v>14230743.3588617</v>
      </c>
      <c r="F40" s="121">
        <f>F22+F29+F36</f>
        <v>2358669.6902814824</v>
      </c>
    </row>
    <row r="46" spans="1:6">
      <c r="A46" t="s">
        <v>800</v>
      </c>
      <c r="B46" s="120">
        <v>0</v>
      </c>
      <c r="C46" s="120">
        <f>B48</f>
        <v>212432.04530273983</v>
      </c>
      <c r="D46" s="120">
        <f>C48</f>
        <v>2242807.5351</v>
      </c>
      <c r="E46" s="120">
        <f>D48</f>
        <v>1157731.0626794514</v>
      </c>
      <c r="F46" s="120">
        <f>E48</f>
        <v>15388474.421541151</v>
      </c>
    </row>
    <row r="48" spans="1:6">
      <c r="A48" s="1" t="s">
        <v>801</v>
      </c>
      <c r="B48" s="121">
        <f>B46+B40</f>
        <v>212432.04530273983</v>
      </c>
      <c r="C48" s="121">
        <f>C46+C40</f>
        <v>2242807.5351</v>
      </c>
      <c r="D48" s="121">
        <f>D46+D40</f>
        <v>1157731.0626794514</v>
      </c>
      <c r="E48" s="121">
        <f>E46+E40</f>
        <v>15388474.421541151</v>
      </c>
      <c r="F48" s="121">
        <f>F46+F40</f>
        <v>17747144.111822635</v>
      </c>
    </row>
    <row r="50" spans="1:6">
      <c r="A50" s="61" t="s">
        <v>802</v>
      </c>
    </row>
    <row r="52" spans="1:6">
      <c r="A52" s="111" t="s">
        <v>971</v>
      </c>
      <c r="B52" s="132"/>
      <c r="C52" s="132"/>
      <c r="D52" s="132"/>
      <c r="E52" s="132"/>
      <c r="F52" s="132"/>
    </row>
    <row r="54" spans="1:6">
      <c r="A54" t="s">
        <v>972</v>
      </c>
      <c r="B54" s="184">
        <f>(B22+B29)/12</f>
        <v>-23963.996224771679</v>
      </c>
      <c r="C54" s="184">
        <f>(C22+C29)/12</f>
        <v>-80802.042516894988</v>
      </c>
      <c r="D54" s="184">
        <f>(D22+D29)/12</f>
        <v>-90423.039368379046</v>
      </c>
      <c r="E54" s="184">
        <f>(E22+E29)/12</f>
        <v>-64104.720094858436</v>
      </c>
      <c r="F54" s="184">
        <f>(F22+F29)/12</f>
        <v>196555.80752345687</v>
      </c>
    </row>
    <row r="55" spans="1:6">
      <c r="A55" t="s">
        <v>973</v>
      </c>
      <c r="B55" s="4">
        <f>IF(B54&lt;0, B48/ABS(B54), "∞")</f>
        <v>8.8646335657133832</v>
      </c>
      <c r="C55" s="4">
        <f>IF(C54&lt;0, C48/ABS(C54), "∞")</f>
        <v>27.756817343213186</v>
      </c>
      <c r="D55" s="4">
        <f>IF(D54&lt;0, D48/ABS(D54), "∞")</f>
        <v>12.803496440358652</v>
      </c>
      <c r="E55" s="4">
        <f>IF(E54&lt;0, E48/ABS(E54), "∞")</f>
        <v>240.05212718767325</v>
      </c>
      <c r="F55" s="4" t="str">
        <f>IF(F54&lt;0, F48/ABS(F54), "∞")</f>
        <v>∞</v>
      </c>
    </row>
    <row r="56" spans="1:6">
      <c r="A56" s="1" t="s">
        <v>974</v>
      </c>
      <c r="B56" s="185" t="str">
        <f>IF(B54&gt;=0,"✅ YES",IF(B55&gt;=18,"✅ OK",IF(B55&gt;=12,"⚠️ TIGHT","❌ DANGER")))</f>
        <v>❌ DANGER</v>
      </c>
      <c r="C56" s="185" t="str">
        <f>IF(C54&gt;=0,"✅ YES",IF(C55&gt;=18,"✅ OK",IF(C55&gt;=12,"⚠️ TIGHT","❌ DANGER")))</f>
        <v>✅ OK</v>
      </c>
      <c r="D56" s="185" t="str">
        <f>IF(D54&gt;=0,"✅ YES",IF(D55&gt;=18,"✅ OK",IF(D55&gt;=12,"⚠️ TIGHT","❌ DANGER")))</f>
        <v>⚠️ TIGHT</v>
      </c>
      <c r="E56" s="185" t="str">
        <f>IF(E54&gt;=0,"✅ YES",IF(E55&gt;=18,"✅ OK",IF(E55&gt;=12,"⚠️ TIGHT","❌ DANGER")))</f>
        <v>✅ OK</v>
      </c>
      <c r="F56" s="185" t="str">
        <f>IF(F54&gt;=0,"✅ YES",IF(F55&gt;=18,"✅ OK",IF(F55&gt;=12,"⚠️ TIGHT","❌ DANGER")))</f>
        <v>✅ YES</v>
      </c>
    </row>
    <row r="58" spans="1:6">
      <c r="A58" s="117" t="s">
        <v>975</v>
      </c>
      <c r="B58" s="186"/>
      <c r="C58" s="186"/>
      <c r="D58" s="186"/>
      <c r="E58" s="186"/>
      <c r="F58" s="186"/>
    </row>
    <row r="60" spans="1:6">
      <c r="A60" t="s">
        <v>976</v>
      </c>
      <c r="B60" s="187" t="s">
        <v>64</v>
      </c>
      <c r="C60" s="187" t="s">
        <v>64</v>
      </c>
      <c r="D60" s="187" t="s">
        <v>64</v>
      </c>
      <c r="E60" s="184">
        <f>D48+E54*6</f>
        <v>773102.74211030081</v>
      </c>
      <c r="F60" s="187" t="s">
        <v>64</v>
      </c>
    </row>
    <row r="61" spans="1:6">
      <c r="A61" t="s">
        <v>977</v>
      </c>
      <c r="B61" s="187" t="s">
        <v>64</v>
      </c>
      <c r="C61" s="187" t="s">
        <v>64</v>
      </c>
      <c r="D61" s="187" t="s">
        <v>64</v>
      </c>
      <c r="E61" s="4">
        <f>IF(E54&lt;0, D48/ABS(E54), "∞")</f>
        <v>18.059997157250017</v>
      </c>
      <c r="F61" s="187" t="s">
        <v>64</v>
      </c>
    </row>
    <row r="62" spans="1:6">
      <c r="A62" s="1" t="s">
        <v>978</v>
      </c>
      <c r="B62" s="155"/>
      <c r="C62" s="155"/>
      <c r="D62" s="155"/>
      <c r="E62" s="185" t="str">
        <f>IF(E61&gt;=6, "✅ SURVIVES", "❌ CASH-OUT")</f>
        <v>✅ SURVIVES</v>
      </c>
      <c r="F62" s="155"/>
    </row>
  </sheetData>
  <mergeCells count="1">
    <mergeCell ref="A1:F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8378-113A-40CF-8468-64EBFCC29BB6}">
  <sheetPr>
    <tabColor rgb="FF92D050"/>
    <pageSetUpPr fitToPage="1"/>
  </sheetPr>
  <dimension ref="A1:N49"/>
  <sheetViews>
    <sheetView workbookViewId="0">
      <selection activeCell="C5" sqref="C5"/>
    </sheetView>
  </sheetViews>
  <sheetFormatPr defaultColWidth="8.81640625" defaultRowHeight="16"/>
  <cols>
    <col min="1" max="1" width="38.1796875" style="12" customWidth="1"/>
    <col min="2" max="6" width="8.26953125" style="15" customWidth="1"/>
    <col min="7" max="7" width="20.7265625" style="12" customWidth="1"/>
    <col min="8" max="8" width="3.54296875" style="12" customWidth="1"/>
    <col min="9" max="13" width="24.7265625" style="12" customWidth="1"/>
    <col min="14" max="14" width="58.453125" style="12" customWidth="1"/>
    <col min="15" max="16384" width="8.81640625" style="12"/>
  </cols>
  <sheetData>
    <row r="1" spans="1:14" customFormat="1" ht="35" customHeight="1">
      <c r="A1" s="194" t="s">
        <v>693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</row>
    <row r="2" spans="1:14" ht="18" customHeight="1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 spans="1:14" s="17" customFormat="1" ht="28.15" customHeight="1">
      <c r="A3" s="57" t="s">
        <v>694</v>
      </c>
      <c r="B3" s="93">
        <v>2026</v>
      </c>
      <c r="C3" s="93">
        <v>2027</v>
      </c>
      <c r="D3" s="93">
        <v>2028</v>
      </c>
      <c r="E3" s="93">
        <v>2029</v>
      </c>
      <c r="F3" s="93">
        <v>2030</v>
      </c>
      <c r="G3"/>
      <c r="H3" s="63" t="s">
        <v>55</v>
      </c>
      <c r="I3"/>
      <c r="J3" s="104">
        <v>2026</v>
      </c>
      <c r="K3" s="104">
        <v>2027</v>
      </c>
      <c r="L3" s="104">
        <v>2028</v>
      </c>
      <c r="M3" s="104">
        <v>2029</v>
      </c>
      <c r="N3" s="104">
        <v>2030</v>
      </c>
    </row>
    <row r="4" spans="1:14" s="20" customFormat="1" ht="13.15" customHeight="1">
      <c r="A4" s="57"/>
      <c r="B4" s="105" t="s">
        <v>695</v>
      </c>
      <c r="C4" s="105" t="s">
        <v>695</v>
      </c>
      <c r="D4" s="105" t="s">
        <v>695</v>
      </c>
      <c r="E4" s="105" t="s">
        <v>695</v>
      </c>
      <c r="F4" s="105" t="s">
        <v>695</v>
      </c>
      <c r="G4"/>
      <c r="H4" s="106" t="s">
        <v>696</v>
      </c>
      <c r="I4"/>
      <c r="J4" s="107" t="s">
        <v>697</v>
      </c>
      <c r="K4" s="107" t="s">
        <v>697</v>
      </c>
      <c r="L4" s="107" t="s">
        <v>697</v>
      </c>
      <c r="M4" s="107" t="s">
        <v>697</v>
      </c>
      <c r="N4" s="107" t="s">
        <v>697</v>
      </c>
    </row>
    <row r="5" spans="1:14" ht="15" customHeight="1">
      <c r="A5" s="108" t="s">
        <v>698</v>
      </c>
      <c r="B5"/>
      <c r="C5"/>
      <c r="D5"/>
      <c r="E5"/>
      <c r="F5"/>
      <c r="G5"/>
      <c r="H5"/>
      <c r="I5"/>
      <c r="J5"/>
      <c r="K5"/>
      <c r="L5"/>
      <c r="M5"/>
      <c r="N5"/>
    </row>
    <row r="6" spans="1:14" ht="15" customHeight="1">
      <c r="A6" t="s">
        <v>699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/>
      <c r="H6" s="3">
        <v>50000</v>
      </c>
      <c r="I6"/>
      <c r="J6" s="3">
        <f>B6*$H$6</f>
        <v>50000</v>
      </c>
      <c r="K6" s="3">
        <f>C6*$H$6*(1+Assumptions!$B$98)^1</f>
        <v>52000</v>
      </c>
      <c r="L6" s="3">
        <f>D6*$H$6*(1+Assumptions!$B$98)^2</f>
        <v>54080.000000000007</v>
      </c>
      <c r="M6" s="3">
        <f>E6*$H$6*(1+Assumptions!$B$98)^3</f>
        <v>56243.200000000004</v>
      </c>
      <c r="N6" s="3">
        <f>F6*$H$6*(1+Assumptions!$B$98)^4</f>
        <v>58492.928000000007</v>
      </c>
    </row>
    <row r="7" spans="1:14" ht="18" customHeight="1">
      <c r="A7" t="s">
        <v>378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/>
      <c r="H7" s="3">
        <v>100000</v>
      </c>
      <c r="I7"/>
      <c r="J7" s="3">
        <f>B7*$H$7</f>
        <v>100000</v>
      </c>
      <c r="K7" s="3">
        <f>C7*$H$7*(1+Assumptions!$B$98)^1</f>
        <v>104000</v>
      </c>
      <c r="L7" s="3">
        <f>D7*$H$7*(1+Assumptions!$B$98)^2</f>
        <v>108160.00000000001</v>
      </c>
      <c r="M7" s="3">
        <f>E7*$H$7*(1+Assumptions!$B$98)^3</f>
        <v>112486.40000000001</v>
      </c>
      <c r="N7" s="3">
        <f>F7*$H$7*(1+Assumptions!$B$98)^4</f>
        <v>116985.85600000001</v>
      </c>
    </row>
    <row r="8" spans="1:14" ht="18" customHeight="1">
      <c r="A8" t="s">
        <v>379</v>
      </c>
      <c r="B8" s="4">
        <v>0</v>
      </c>
      <c r="C8" s="4">
        <v>0</v>
      </c>
      <c r="D8" s="4">
        <v>0</v>
      </c>
      <c r="E8" s="4">
        <v>1</v>
      </c>
      <c r="F8" s="4">
        <v>1</v>
      </c>
      <c r="G8"/>
      <c r="H8" s="3">
        <v>130000</v>
      </c>
      <c r="I8"/>
      <c r="J8" s="3">
        <f>B8*$H$8</f>
        <v>0</v>
      </c>
      <c r="K8" s="3">
        <f>C8*$H$8*(1+Assumptions!$B$98)^1</f>
        <v>0</v>
      </c>
      <c r="L8" s="3">
        <f>D8*$H$8*(1+Assumptions!$B$98)^2</f>
        <v>0</v>
      </c>
      <c r="M8" s="3">
        <f>E8*$H$8*(1+Assumptions!$B$98)^3</f>
        <v>146232.32000000001</v>
      </c>
      <c r="N8" s="3">
        <f>F8*$H$8*(1+Assumptions!$B$98)^4</f>
        <v>152081.61280000003</v>
      </c>
    </row>
    <row r="9" spans="1:14" ht="18" customHeight="1">
      <c r="A9" s="1" t="s">
        <v>700</v>
      </c>
      <c r="B9" s="109">
        <f>SUM(B6:B8)</f>
        <v>2</v>
      </c>
      <c r="C9" s="109">
        <f>SUM(C6:C8)</f>
        <v>2</v>
      </c>
      <c r="D9" s="109">
        <f>SUM(D6:D8)</f>
        <v>2</v>
      </c>
      <c r="E9" s="109">
        <f>SUM(E6:E8)</f>
        <v>3</v>
      </c>
      <c r="F9" s="109">
        <f>SUM(F6:F8)</f>
        <v>3</v>
      </c>
      <c r="G9"/>
      <c r="H9"/>
      <c r="I9"/>
      <c r="J9" s="110">
        <f>SUM(J6:J8)</f>
        <v>150000</v>
      </c>
      <c r="K9" s="110">
        <f>SUM(K6:K8)</f>
        <v>156000</v>
      </c>
      <c r="L9" s="110">
        <f>SUM(L6:L8)</f>
        <v>162240.00000000003</v>
      </c>
      <c r="M9" s="110">
        <f>SUM(M6:M8)</f>
        <v>314961.92000000004</v>
      </c>
      <c r="N9" s="110">
        <f>SUM(N6:N8)</f>
        <v>327560.39680000005</v>
      </c>
    </row>
    <row r="10" spans="1:14" s="19" customFormat="1" ht="28.15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 ht="18" customHeight="1">
      <c r="A11" s="108" t="s">
        <v>701</v>
      </c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 s="16" customFormat="1" ht="30" customHeight="1">
      <c r="A12" t="s">
        <v>380</v>
      </c>
      <c r="B12" s="4">
        <v>1</v>
      </c>
      <c r="C12" s="4">
        <v>2</v>
      </c>
      <c r="D12" s="4">
        <v>4</v>
      </c>
      <c r="E12" s="4">
        <v>6</v>
      </c>
      <c r="F12" s="4">
        <v>9</v>
      </c>
      <c r="G12"/>
      <c r="H12" s="3">
        <v>135000</v>
      </c>
      <c r="I12"/>
      <c r="J12" s="3">
        <f>B12*$H$12</f>
        <v>135000</v>
      </c>
      <c r="K12" s="3">
        <f>C12*$H$12*(1+Assumptions!$B$98)^1</f>
        <v>280800</v>
      </c>
      <c r="L12" s="3">
        <f>D12*$H$12*(1+Assumptions!$B$98)^2</f>
        <v>584064.00000000012</v>
      </c>
      <c r="M12" s="3">
        <f>E12*$H$12*(1+Assumptions!$B$98)^3</f>
        <v>911139.84000000008</v>
      </c>
      <c r="N12" s="3">
        <f>F12*$H$12*(1+Assumptions!$B$98)^4</f>
        <v>1421378.1504000002</v>
      </c>
    </row>
    <row r="13" spans="1:14">
      <c r="A13" t="s">
        <v>381</v>
      </c>
      <c r="B13" s="4">
        <v>0</v>
      </c>
      <c r="C13" s="4">
        <v>1</v>
      </c>
      <c r="D13" s="4">
        <v>1</v>
      </c>
      <c r="E13" s="4">
        <v>1</v>
      </c>
      <c r="F13" s="4">
        <v>1</v>
      </c>
      <c r="G13"/>
      <c r="H13" s="3">
        <v>165000</v>
      </c>
      <c r="I13"/>
      <c r="J13" s="3">
        <f>B13*$H$13</f>
        <v>0</v>
      </c>
      <c r="K13" s="3">
        <f>C13*$H$13*(1+Assumptions!$B$98)^1</f>
        <v>171600</v>
      </c>
      <c r="L13" s="3">
        <f>D13*$H$13*(1+Assumptions!$B$98)^2</f>
        <v>178464.00000000003</v>
      </c>
      <c r="M13" s="3">
        <f>E13*$H$13*(1+Assumptions!$B$98)^3</f>
        <v>185602.56000000003</v>
      </c>
      <c r="N13" s="3">
        <f>F13*$H$13*(1+Assumptions!$B$98)^4</f>
        <v>193026.66240000003</v>
      </c>
    </row>
    <row r="14" spans="1:14" ht="18" customHeight="1">
      <c r="A14" t="s">
        <v>382</v>
      </c>
      <c r="B14" s="4">
        <v>1</v>
      </c>
      <c r="C14" s="4">
        <v>1</v>
      </c>
      <c r="D14" s="4">
        <v>2</v>
      </c>
      <c r="E14" s="4">
        <v>3</v>
      </c>
      <c r="F14" s="4">
        <v>5</v>
      </c>
      <c r="G14"/>
      <c r="H14" s="3">
        <v>145000</v>
      </c>
      <c r="I14"/>
      <c r="J14" s="3">
        <f>B14*$H$14</f>
        <v>145000</v>
      </c>
      <c r="K14" s="3">
        <f>C14*$H$14*(1+Assumptions!$B$98)^1</f>
        <v>150800</v>
      </c>
      <c r="L14" s="3">
        <f>D14*$H$14*(1+Assumptions!$B$98)^2</f>
        <v>313664.00000000006</v>
      </c>
      <c r="M14" s="3">
        <f>E14*$H$14*(1+Assumptions!$B$98)^3</f>
        <v>489315.84000000003</v>
      </c>
      <c r="N14" s="3">
        <f>F14*$H$14*(1+Assumptions!$B$98)^4</f>
        <v>848147.45600000012</v>
      </c>
    </row>
    <row r="15" spans="1:14" ht="18" customHeight="1">
      <c r="A15" t="s">
        <v>702</v>
      </c>
      <c r="B15" s="4">
        <v>0</v>
      </c>
      <c r="C15" s="4">
        <v>0</v>
      </c>
      <c r="D15" s="4">
        <v>1</v>
      </c>
      <c r="E15" s="4">
        <v>2</v>
      </c>
      <c r="F15" s="4">
        <v>4</v>
      </c>
      <c r="G15"/>
      <c r="H15" s="3">
        <v>130000</v>
      </c>
      <c r="I15"/>
      <c r="J15" s="3">
        <f>B15*$H$15</f>
        <v>0</v>
      </c>
      <c r="K15" s="3">
        <f>C15*$H$15*(1+Assumptions!$B$98)^1</f>
        <v>0</v>
      </c>
      <c r="L15" s="3">
        <f>D15*$H$15*(1+Assumptions!$B$98)^2</f>
        <v>140608.00000000003</v>
      </c>
      <c r="M15" s="3">
        <f>E15*$H$15*(1+Assumptions!$B$98)^3</f>
        <v>292464.64000000001</v>
      </c>
      <c r="N15" s="3">
        <f>F15*$H$15*(1+Assumptions!$B$98)^4</f>
        <v>608326.45120000013</v>
      </c>
    </row>
    <row r="16" spans="1:14" ht="18" customHeight="1">
      <c r="A16" t="s">
        <v>703</v>
      </c>
      <c r="B16" s="4">
        <v>0</v>
      </c>
      <c r="C16" s="4">
        <v>0</v>
      </c>
      <c r="D16" s="4">
        <v>1</v>
      </c>
      <c r="E16" s="4">
        <v>2</v>
      </c>
      <c r="F16" s="4">
        <v>3</v>
      </c>
      <c r="G16"/>
      <c r="H16" s="3">
        <v>125000</v>
      </c>
      <c r="I16"/>
      <c r="J16" s="3">
        <f>B16*$H$16</f>
        <v>0</v>
      </c>
      <c r="K16" s="3">
        <f>C16*$H$16*(1+Assumptions!$B$98)^1</f>
        <v>0</v>
      </c>
      <c r="L16" s="3">
        <f>D16*$H$16*(1+Assumptions!$B$98)^2</f>
        <v>135200.00000000003</v>
      </c>
      <c r="M16" s="3">
        <f>E16*$H$16*(1+Assumptions!$B$98)^3</f>
        <v>281216</v>
      </c>
      <c r="N16" s="3">
        <f>F16*$H$16*(1+Assumptions!$B$98)^4</f>
        <v>438696.96000000008</v>
      </c>
    </row>
    <row r="17" spans="1:14" ht="18" customHeight="1">
      <c r="A17" t="s">
        <v>704</v>
      </c>
      <c r="B17" s="4">
        <v>0</v>
      </c>
      <c r="C17" s="4">
        <v>0</v>
      </c>
      <c r="D17" s="4">
        <v>1</v>
      </c>
      <c r="E17" s="4">
        <v>2</v>
      </c>
      <c r="F17" s="4">
        <v>3</v>
      </c>
      <c r="G17"/>
      <c r="H17" s="3">
        <v>95000</v>
      </c>
      <c r="I17"/>
      <c r="J17" s="3">
        <f>B17*$H$17</f>
        <v>0</v>
      </c>
      <c r="K17" s="3">
        <f>C17*$H$17*(1+Assumptions!$B$98)^1</f>
        <v>0</v>
      </c>
      <c r="L17" s="3">
        <f>D17*$H$17*(1+Assumptions!$B$98)^2</f>
        <v>102752.00000000001</v>
      </c>
      <c r="M17" s="3">
        <f>E17*$H$17*(1+Assumptions!$B$98)^3</f>
        <v>213724.16</v>
      </c>
      <c r="N17" s="3">
        <f>F17*$H$17*(1+Assumptions!$B$98)^4</f>
        <v>333409.68960000004</v>
      </c>
    </row>
    <row r="18" spans="1:14" ht="18" customHeight="1">
      <c r="A18" s="1" t="s">
        <v>705</v>
      </c>
      <c r="B18" s="109">
        <f>SUM(B12:B17)</f>
        <v>2</v>
      </c>
      <c r="C18" s="109">
        <f>SUM(C12:C17)</f>
        <v>4</v>
      </c>
      <c r="D18" s="109">
        <f>SUM(D12:D17)</f>
        <v>10</v>
      </c>
      <c r="E18" s="109">
        <f>SUM(E12:E17)</f>
        <v>16</v>
      </c>
      <c r="F18" s="109">
        <f>SUM(F12:F17)</f>
        <v>25</v>
      </c>
      <c r="G18"/>
      <c r="H18"/>
      <c r="I18"/>
      <c r="J18" s="110">
        <f>SUM(J12:J17)</f>
        <v>280000</v>
      </c>
      <c r="K18" s="110">
        <f>SUM(K12:K17)</f>
        <v>603200</v>
      </c>
      <c r="L18" s="110">
        <f>SUM(L12:L17)</f>
        <v>1454752.0000000002</v>
      </c>
      <c r="M18" s="110">
        <f>SUM(M12:M17)</f>
        <v>2373463.0400000005</v>
      </c>
      <c r="N18" s="110">
        <f>SUM(N12:N17)</f>
        <v>3842985.3696000003</v>
      </c>
    </row>
    <row r="19" spans="1:14" ht="18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s="19" customFormat="1" ht="28.15" customHeight="1">
      <c r="A20" s="108" t="s">
        <v>706</v>
      </c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 ht="18" customHeight="1">
      <c r="A21" t="s">
        <v>707</v>
      </c>
      <c r="B21" s="4">
        <v>0</v>
      </c>
      <c r="C21" s="4">
        <v>1</v>
      </c>
      <c r="D21" s="4">
        <v>1</v>
      </c>
      <c r="E21" s="4">
        <v>2</v>
      </c>
      <c r="F21" s="4">
        <v>2</v>
      </c>
      <c r="G21"/>
      <c r="H21" s="3">
        <v>125000</v>
      </c>
      <c r="I21"/>
      <c r="J21" s="3">
        <f>B21*$H$21</f>
        <v>0</v>
      </c>
      <c r="K21" s="3">
        <f>C21*$H$21*(1+Assumptions!$B$98)^1</f>
        <v>130000</v>
      </c>
      <c r="L21" s="3">
        <f>D21*$H$21*(1+Assumptions!$B$98)^2</f>
        <v>135200.00000000003</v>
      </c>
      <c r="M21" s="3">
        <f>E21*$H$21*(1+Assumptions!$B$98)^3</f>
        <v>281216</v>
      </c>
      <c r="N21" s="3">
        <f>F21*$H$21*(1+Assumptions!$B$98)^4</f>
        <v>292464.64000000007</v>
      </c>
    </row>
    <row r="22" spans="1:14" s="16" customFormat="1" ht="30" customHeight="1">
      <c r="A22" t="s">
        <v>708</v>
      </c>
      <c r="B22" s="4">
        <v>0</v>
      </c>
      <c r="C22" s="4">
        <v>1</v>
      </c>
      <c r="D22" s="4">
        <v>1</v>
      </c>
      <c r="E22" s="4">
        <v>2</v>
      </c>
      <c r="F22" s="4">
        <v>3</v>
      </c>
      <c r="G22"/>
      <c r="H22" s="3">
        <v>105000</v>
      </c>
      <c r="I22"/>
      <c r="J22" s="3">
        <f>B22*$H$22</f>
        <v>0</v>
      </c>
      <c r="K22" s="3">
        <f>C22*$H$22*(1+Assumptions!$B$98)^1</f>
        <v>109200</v>
      </c>
      <c r="L22" s="3">
        <f>D22*$H$22*(1+Assumptions!$B$98)^2</f>
        <v>113568.00000000001</v>
      </c>
      <c r="M22" s="3">
        <f>E22*$H$22*(1+Assumptions!$B$98)^3</f>
        <v>236221.44000000003</v>
      </c>
      <c r="N22" s="3">
        <f>F22*$H$22*(1+Assumptions!$B$98)^4</f>
        <v>368505.44640000007</v>
      </c>
    </row>
    <row r="23" spans="1:14" ht="18" customHeight="1">
      <c r="A23" s="1" t="s">
        <v>709</v>
      </c>
      <c r="B23" s="109">
        <f>SUM(B21:B22)</f>
        <v>0</v>
      </c>
      <c r="C23" s="109">
        <f>SUM(C21:C22)</f>
        <v>2</v>
      </c>
      <c r="D23" s="109">
        <f>SUM(D21:D22)</f>
        <v>2</v>
      </c>
      <c r="E23" s="109">
        <f>SUM(E21:E22)</f>
        <v>4</v>
      </c>
      <c r="F23" s="109">
        <f>SUM(F21:F22)</f>
        <v>5</v>
      </c>
      <c r="G23"/>
      <c r="H23"/>
      <c r="I23"/>
      <c r="J23" s="110">
        <f>SUM(J21:J22)</f>
        <v>0</v>
      </c>
      <c r="K23" s="110">
        <f>SUM(K21:K22)</f>
        <v>239200</v>
      </c>
      <c r="L23" s="110">
        <f>SUM(L21:L22)</f>
        <v>248768.00000000006</v>
      </c>
      <c r="M23" s="110">
        <f>SUM(M21:M22)</f>
        <v>517437.44000000006</v>
      </c>
      <c r="N23" s="110">
        <f>SUM(N21:N22)</f>
        <v>660970.08640000015</v>
      </c>
    </row>
    <row r="24" spans="1:14" ht="18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 s="19" customFormat="1" ht="28.15" customHeight="1">
      <c r="A25" s="108" t="s">
        <v>710</v>
      </c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ht="18" customHeight="1">
      <c r="A26" t="s">
        <v>383</v>
      </c>
      <c r="B26" s="4">
        <v>0</v>
      </c>
      <c r="C26" s="4">
        <v>0</v>
      </c>
      <c r="D26" s="4">
        <v>1</v>
      </c>
      <c r="E26" s="4">
        <v>1</v>
      </c>
      <c r="F26" s="4">
        <v>1</v>
      </c>
      <c r="G26"/>
      <c r="H26" s="3">
        <v>150000</v>
      </c>
      <c r="I26"/>
      <c r="J26" s="3">
        <f>B26*$H$26</f>
        <v>0</v>
      </c>
      <c r="K26" s="3">
        <f>C26*$H$26*(1+Assumptions!$B$98)^1</f>
        <v>0</v>
      </c>
      <c r="L26" s="3">
        <f>D26*$H$26*(1+Assumptions!$B$98)^2</f>
        <v>162240.00000000003</v>
      </c>
      <c r="M26" s="3">
        <f>E26*$H$26*(1+Assumptions!$B$98)^3</f>
        <v>168729.60000000001</v>
      </c>
      <c r="N26" s="3">
        <f>F26*$H$26*(1+Assumptions!$B$98)^4</f>
        <v>175478.78400000004</v>
      </c>
    </row>
    <row r="27" spans="1:14" s="16" customFormat="1" ht="30" customHeight="1">
      <c r="A27" t="s">
        <v>711</v>
      </c>
      <c r="B27" s="4">
        <v>0</v>
      </c>
      <c r="C27" s="4">
        <v>1</v>
      </c>
      <c r="D27" s="4">
        <v>2</v>
      </c>
      <c r="E27" s="4">
        <v>4</v>
      </c>
      <c r="F27" s="4">
        <v>8</v>
      </c>
      <c r="G27"/>
      <c r="H27" s="3">
        <v>85000</v>
      </c>
      <c r="I27"/>
      <c r="J27" s="3">
        <f>B27*$H$27</f>
        <v>0</v>
      </c>
      <c r="K27" s="3">
        <f>C27*$H$27*(1+Assumptions!$B$98)^1</f>
        <v>88400</v>
      </c>
      <c r="L27" s="3">
        <f>D27*$H$27*(1+Assumptions!$B$98)^2</f>
        <v>183872.00000000003</v>
      </c>
      <c r="M27" s="3">
        <f>E27*$H$27*(1+Assumptions!$B$98)^3</f>
        <v>382453.76000000001</v>
      </c>
      <c r="N27" s="3">
        <f>F27*$H$27*(1+Assumptions!$B$98)^4</f>
        <v>795503.8208000001</v>
      </c>
    </row>
    <row r="28" spans="1:14" ht="18" customHeight="1">
      <c r="A28" t="s">
        <v>712</v>
      </c>
      <c r="B28" s="4">
        <v>0.5</v>
      </c>
      <c r="C28" s="4">
        <v>1</v>
      </c>
      <c r="D28" s="4">
        <v>2</v>
      </c>
      <c r="E28" s="4">
        <v>2</v>
      </c>
      <c r="F28" s="4">
        <v>3</v>
      </c>
      <c r="G28"/>
      <c r="H28" s="3">
        <v>75000</v>
      </c>
      <c r="I28"/>
      <c r="J28" s="3">
        <f>B28*$H$28</f>
        <v>37500</v>
      </c>
      <c r="K28" s="3">
        <f>C28*$H$28*(1+Assumptions!$B$98)^1</f>
        <v>78000</v>
      </c>
      <c r="L28" s="3">
        <f>D28*$H$28*(1+Assumptions!$B$98)^2</f>
        <v>162240.00000000003</v>
      </c>
      <c r="M28" s="3">
        <f>E28*$H$28*(1+Assumptions!$B$98)^3</f>
        <v>168729.60000000001</v>
      </c>
      <c r="N28" s="3">
        <f>F28*$H$28*(1+Assumptions!$B$98)^4</f>
        <v>263218.17600000004</v>
      </c>
    </row>
    <row r="29" spans="1:14" ht="18" customHeight="1">
      <c r="A29" t="s">
        <v>713</v>
      </c>
      <c r="B29" s="4">
        <v>0</v>
      </c>
      <c r="C29" s="4">
        <v>1</v>
      </c>
      <c r="D29" s="4">
        <v>1</v>
      </c>
      <c r="E29" s="4">
        <v>2</v>
      </c>
      <c r="F29" s="4">
        <v>3</v>
      </c>
      <c r="G29"/>
      <c r="H29" s="3">
        <v>65000</v>
      </c>
      <c r="I29"/>
      <c r="J29" s="3">
        <f>B29*$H$29</f>
        <v>0</v>
      </c>
      <c r="K29" s="3">
        <f>C29*$H$29*(1+Assumptions!$B$98)^1</f>
        <v>67600</v>
      </c>
      <c r="L29" s="3">
        <f>D29*$H$29*(1+Assumptions!$B$98)^2</f>
        <v>70304.000000000015</v>
      </c>
      <c r="M29" s="3">
        <f>E29*$H$29*(1+Assumptions!$B$98)^3</f>
        <v>146232.32000000001</v>
      </c>
      <c r="N29" s="3">
        <f>F29*$H$29*(1+Assumptions!$B$98)^4</f>
        <v>228122.41920000003</v>
      </c>
    </row>
    <row r="30" spans="1:14" ht="18" customHeight="1">
      <c r="A30" s="1" t="s">
        <v>714</v>
      </c>
      <c r="B30" s="109">
        <f>SUM(B26:B29)</f>
        <v>0.5</v>
      </c>
      <c r="C30" s="109">
        <f>SUM(C26:C29)</f>
        <v>3</v>
      </c>
      <c r="D30" s="109">
        <f>SUM(D26:D29)</f>
        <v>6</v>
      </c>
      <c r="E30" s="109">
        <f>SUM(E26:E29)</f>
        <v>9</v>
      </c>
      <c r="F30" s="109">
        <f>SUM(F26:F29)</f>
        <v>15</v>
      </c>
      <c r="G30"/>
      <c r="H30"/>
      <c r="I30"/>
      <c r="J30" s="110">
        <f>SUM(J26:J29)</f>
        <v>37500</v>
      </c>
      <c r="K30" s="110">
        <f>SUM(K26:K29)</f>
        <v>234000</v>
      </c>
      <c r="L30" s="110">
        <f>SUM(L26:L29)</f>
        <v>578656.00000000012</v>
      </c>
      <c r="M30" s="110">
        <f>SUM(M26:M29)</f>
        <v>866145.28000000003</v>
      </c>
      <c r="N30" s="110">
        <f>SUM(N26:N29)</f>
        <v>1462323.2000000002</v>
      </c>
    </row>
    <row r="31" spans="1:14" ht="18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s="19" customFormat="1" ht="28.15" customHeight="1">
      <c r="A32" s="108" t="s">
        <v>715</v>
      </c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ht="18" customHeight="1">
      <c r="A33" t="s">
        <v>384</v>
      </c>
      <c r="B33" s="4">
        <v>0</v>
      </c>
      <c r="C33" s="4">
        <v>1</v>
      </c>
      <c r="D33" s="4">
        <v>1</v>
      </c>
      <c r="E33" s="4">
        <v>1</v>
      </c>
      <c r="F33" s="4">
        <v>1</v>
      </c>
      <c r="G33"/>
      <c r="H33" s="3">
        <v>90000</v>
      </c>
      <c r="I33"/>
      <c r="J33" s="3">
        <f>B33*$H$33</f>
        <v>0</v>
      </c>
      <c r="K33" s="3">
        <f>C33*$H$33*(1+Assumptions!$B$98)^1</f>
        <v>93600</v>
      </c>
      <c r="L33" s="3">
        <f>D33*$H$33*(1+Assumptions!$B$98)^2</f>
        <v>97344.000000000015</v>
      </c>
      <c r="M33" s="3">
        <f>E33*$H$33*(1+Assumptions!$B$98)^3</f>
        <v>101237.76000000001</v>
      </c>
      <c r="N33" s="3">
        <f>F33*$H$33*(1+Assumptions!$B$98)^4</f>
        <v>105287.27040000002</v>
      </c>
    </row>
    <row r="34" spans="1:14" s="16" customFormat="1" ht="30" customHeight="1">
      <c r="A34" t="s">
        <v>716</v>
      </c>
      <c r="B34" s="4">
        <v>0</v>
      </c>
      <c r="C34" s="4">
        <v>0</v>
      </c>
      <c r="D34" s="4">
        <v>1</v>
      </c>
      <c r="E34" s="4">
        <v>3</v>
      </c>
      <c r="F34" s="4">
        <v>6</v>
      </c>
      <c r="G34"/>
      <c r="H34" s="3">
        <v>65000</v>
      </c>
      <c r="I34"/>
      <c r="J34" s="3">
        <f>B34*$H$34</f>
        <v>0</v>
      </c>
      <c r="K34" s="3">
        <f>C34*$H$34*(1+Assumptions!$B$98)^1</f>
        <v>0</v>
      </c>
      <c r="L34" s="3">
        <f>D34*$H$34*(1+Assumptions!$B$98)^2</f>
        <v>70304.000000000015</v>
      </c>
      <c r="M34" s="3">
        <f>E34*$H$34*(1+Assumptions!$B$98)^3</f>
        <v>219348.48000000001</v>
      </c>
      <c r="N34" s="3">
        <f>F34*$H$34*(1+Assumptions!$B$98)^4</f>
        <v>456244.83840000007</v>
      </c>
    </row>
    <row r="35" spans="1:14" ht="18" customHeight="1">
      <c r="A35" t="s">
        <v>717</v>
      </c>
      <c r="B35" s="4">
        <v>1</v>
      </c>
      <c r="C35" s="4">
        <v>1</v>
      </c>
      <c r="D35" s="4">
        <v>1</v>
      </c>
      <c r="E35" s="4">
        <v>2</v>
      </c>
      <c r="F35" s="4">
        <v>4</v>
      </c>
      <c r="G35"/>
      <c r="H35" s="3">
        <v>60000</v>
      </c>
      <c r="I35"/>
      <c r="J35" s="3">
        <f>B35*$H$35</f>
        <v>60000</v>
      </c>
      <c r="K35" s="3">
        <f>C35*$H$35*(1+Assumptions!$B$98)^1</f>
        <v>62400</v>
      </c>
      <c r="L35" s="3">
        <f>D35*$H$35*(1+Assumptions!$B$98)^2</f>
        <v>64896.000000000007</v>
      </c>
      <c r="M35" s="3">
        <f>E35*$H$35*(1+Assumptions!$B$98)^3</f>
        <v>134983.68000000002</v>
      </c>
      <c r="N35" s="3">
        <f>F35*$H$35*(1+Assumptions!$B$98)^4</f>
        <v>280766.05440000002</v>
      </c>
    </row>
    <row r="36" spans="1:14" ht="18" customHeight="1">
      <c r="A36" s="1" t="s">
        <v>718</v>
      </c>
      <c r="B36" s="109">
        <f>SUM(B33:B35)</f>
        <v>1</v>
      </c>
      <c r="C36" s="109">
        <f>SUM(C33:C35)</f>
        <v>2</v>
      </c>
      <c r="D36" s="109">
        <f>SUM(D33:D35)</f>
        <v>3</v>
      </c>
      <c r="E36" s="109">
        <f>SUM(E33:E35)</f>
        <v>6</v>
      </c>
      <c r="F36" s="109">
        <f>SUM(F33:F35)</f>
        <v>11</v>
      </c>
      <c r="G36"/>
      <c r="H36"/>
      <c r="I36"/>
      <c r="J36" s="110">
        <f>SUM(J33:J35)</f>
        <v>60000</v>
      </c>
      <c r="K36" s="110">
        <f>SUM(K33:K35)</f>
        <v>156000</v>
      </c>
      <c r="L36" s="110">
        <f>SUM(L33:L35)</f>
        <v>232544.00000000003</v>
      </c>
      <c r="M36" s="110">
        <f>SUM(M33:M35)</f>
        <v>455569.92000000004</v>
      </c>
      <c r="N36" s="110">
        <f>SUM(N33:N35)</f>
        <v>842298.16320000007</v>
      </c>
    </row>
    <row r="37" spans="1:14" ht="18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ht="18" customHeight="1">
      <c r="A38" s="108" t="s">
        <v>719</v>
      </c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ht="18" customHeight="1">
      <c r="A39" t="s">
        <v>54</v>
      </c>
      <c r="B39" s="4">
        <v>0</v>
      </c>
      <c r="C39" s="4">
        <v>0</v>
      </c>
      <c r="D39" s="4">
        <v>1</v>
      </c>
      <c r="E39" s="4">
        <v>1</v>
      </c>
      <c r="F39" s="4">
        <v>1</v>
      </c>
      <c r="G39"/>
      <c r="H39" s="3">
        <v>85000</v>
      </c>
      <c r="I39"/>
      <c r="J39" s="3">
        <f>B39*$H$39</f>
        <v>0</v>
      </c>
      <c r="K39" s="3">
        <f>C39*$H$39*(1+Assumptions!$B$98)^1</f>
        <v>0</v>
      </c>
      <c r="L39" s="3">
        <f>D39*$H$39*(1+Assumptions!$B$98)^2</f>
        <v>91936.000000000015</v>
      </c>
      <c r="M39" s="3">
        <f>E39*$H$39*(1+Assumptions!$B$98)^3</f>
        <v>95613.440000000002</v>
      </c>
      <c r="N39" s="3">
        <f>F39*$H$39*(1+Assumptions!$B$98)^4</f>
        <v>99437.977600000013</v>
      </c>
    </row>
    <row r="40" spans="1:14" s="19" customFormat="1" ht="28.15" customHeight="1">
      <c r="A40" t="s">
        <v>720</v>
      </c>
      <c r="B40" s="4">
        <v>0</v>
      </c>
      <c r="C40" s="4">
        <v>0</v>
      </c>
      <c r="D40" s="4">
        <v>0</v>
      </c>
      <c r="E40" s="4">
        <v>1</v>
      </c>
      <c r="F40" s="4">
        <v>1</v>
      </c>
      <c r="G40"/>
      <c r="H40" s="3">
        <v>80000</v>
      </c>
      <c r="I40"/>
      <c r="J40" s="3">
        <f>B40*$H$40</f>
        <v>0</v>
      </c>
      <c r="K40" s="3">
        <f>C40*$H$40*(1+Assumptions!$B$98)^1</f>
        <v>0</v>
      </c>
      <c r="L40" s="3">
        <f>D40*$H$40*(1+Assumptions!$B$98)^2</f>
        <v>0</v>
      </c>
      <c r="M40" s="3">
        <f>E40*$H$40*(1+Assumptions!$B$98)^3</f>
        <v>89989.12000000001</v>
      </c>
      <c r="N40" s="3">
        <f>F40*$H$40*(1+Assumptions!$B$98)^4</f>
        <v>93588.684800000017</v>
      </c>
    </row>
    <row r="41" spans="1:14" ht="18" customHeight="1">
      <c r="A41" t="s">
        <v>721</v>
      </c>
      <c r="B41" s="4">
        <v>0</v>
      </c>
      <c r="C41" s="4">
        <v>0.5</v>
      </c>
      <c r="D41" s="4">
        <v>1</v>
      </c>
      <c r="E41" s="4">
        <v>1</v>
      </c>
      <c r="F41" s="4">
        <v>1</v>
      </c>
      <c r="G41"/>
      <c r="H41" s="3">
        <v>120000</v>
      </c>
      <c r="I41"/>
      <c r="J41" s="3">
        <f>B41*$H$41</f>
        <v>0</v>
      </c>
      <c r="K41" s="3">
        <f>C41*$H$41*(1+Assumptions!$B$98)^1</f>
        <v>62400</v>
      </c>
      <c r="L41" s="3">
        <f>D41*$H$41*(1+Assumptions!$B$98)^2</f>
        <v>129792.00000000001</v>
      </c>
      <c r="M41" s="3">
        <f>E41*$H$41*(1+Assumptions!$B$98)^3</f>
        <v>134983.68000000002</v>
      </c>
      <c r="N41" s="3">
        <f>F41*$H$41*(1+Assumptions!$B$98)^4</f>
        <v>140383.02720000001</v>
      </c>
    </row>
    <row r="42" spans="1:14" s="16" customFormat="1" ht="30" customHeight="1">
      <c r="A42" t="s">
        <v>722</v>
      </c>
      <c r="B42" s="4">
        <v>0</v>
      </c>
      <c r="C42" s="4">
        <v>0</v>
      </c>
      <c r="D42" s="4">
        <v>0</v>
      </c>
      <c r="E42" s="4">
        <v>1</v>
      </c>
      <c r="F42" s="4">
        <v>1</v>
      </c>
      <c r="G42"/>
      <c r="H42" s="3">
        <v>55000</v>
      </c>
      <c r="I42"/>
      <c r="J42" s="3">
        <f>B42*$H$42</f>
        <v>0</v>
      </c>
      <c r="K42" s="3">
        <f>C42*$H$42*(1+Assumptions!$B$98)^1</f>
        <v>0</v>
      </c>
      <c r="L42" s="3">
        <f>D42*$H$42*(1+Assumptions!$B$98)^2</f>
        <v>0</v>
      </c>
      <c r="M42" s="3">
        <f>E42*$H$42*(1+Assumptions!$B$98)^3</f>
        <v>61867.520000000004</v>
      </c>
      <c r="N42" s="3">
        <f>F42*$H$42*(1+Assumptions!$B$98)^4</f>
        <v>64342.22080000001</v>
      </c>
    </row>
    <row r="43" spans="1:14" ht="18" customHeight="1">
      <c r="A43" s="1" t="s">
        <v>723</v>
      </c>
      <c r="B43" s="109">
        <f>SUM(B39:B42)</f>
        <v>0</v>
      </c>
      <c r="C43" s="109">
        <f>SUM(C39:C42)</f>
        <v>0.5</v>
      </c>
      <c r="D43" s="109">
        <f>SUM(D39:D42)</f>
        <v>2</v>
      </c>
      <c r="E43" s="109">
        <f>SUM(E39:E42)</f>
        <v>4</v>
      </c>
      <c r="F43" s="109">
        <f>SUM(F39:F42)</f>
        <v>4</v>
      </c>
      <c r="G43"/>
      <c r="H43"/>
      <c r="I43"/>
      <c r="J43" s="110">
        <f>SUM(J39:J42)</f>
        <v>0</v>
      </c>
      <c r="K43" s="110">
        <f>SUM(K39:K42)</f>
        <v>62400</v>
      </c>
      <c r="L43" s="110">
        <f>SUM(L39:L42)</f>
        <v>221728.00000000003</v>
      </c>
      <c r="M43" s="110">
        <f>SUM(M39:M42)</f>
        <v>382453.76000000001</v>
      </c>
      <c r="N43" s="110">
        <f>SUM(N39:N42)</f>
        <v>397751.91040000005</v>
      </c>
    </row>
    <row r="44" spans="1:14" ht="18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9" customFormat="1" ht="28.15" customHeight="1">
      <c r="A45" s="111" t="s">
        <v>724</v>
      </c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s="19" customFormat="1" ht="18" customHeight="1">
      <c r="A46" s="1" t="s">
        <v>725</v>
      </c>
      <c r="B46" s="109">
        <f>B9+B18+B23+B30+B36+B43</f>
        <v>5.5</v>
      </c>
      <c r="C46" s="109">
        <f>C9+C18+C23+C30+C36+C43</f>
        <v>13.5</v>
      </c>
      <c r="D46" s="109">
        <f>D9+D18+D23+D30+D36+D43</f>
        <v>25</v>
      </c>
      <c r="E46" s="109">
        <f>E9+E18+E23+E30+E36+E43</f>
        <v>42</v>
      </c>
      <c r="F46" s="109">
        <f>F9+F18+F23+F30+F36+F43</f>
        <v>63</v>
      </c>
      <c r="G46"/>
      <c r="H46"/>
      <c r="I46"/>
      <c r="J46"/>
      <c r="K46"/>
      <c r="L46"/>
      <c r="M46"/>
      <c r="N46"/>
    </row>
    <row r="47" spans="1:14" s="19" customFormat="1" ht="28.15" customHeight="1">
      <c r="A47" s="1" t="s">
        <v>726</v>
      </c>
      <c r="B47"/>
      <c r="C47"/>
      <c r="D47"/>
      <c r="E47"/>
      <c r="F47"/>
      <c r="G47"/>
      <c r="H47"/>
      <c r="I47"/>
      <c r="J47" s="110">
        <f>J9+J18+J23+J30+J36+J43</f>
        <v>527500</v>
      </c>
      <c r="K47" s="110">
        <f>K9+K18+K23+K30+K36+K43</f>
        <v>1450800</v>
      </c>
      <c r="L47" s="110">
        <f>L9+L18+L23+L30+L36+L43</f>
        <v>2898688.0000000005</v>
      </c>
      <c r="M47" s="110">
        <f>M9+M18+M23+M30+M36+M43</f>
        <v>4910031.3600000003</v>
      </c>
      <c r="N47" s="110">
        <f>N9+N18+N23+N30+N36+N43</f>
        <v>7533889.1264000013</v>
      </c>
    </row>
    <row r="48" spans="1:14" s="19" customFormat="1" ht="18" customHeight="1">
      <c r="A48" s="1" t="s">
        <v>727</v>
      </c>
      <c r="B48" s="72">
        <v>0.25</v>
      </c>
      <c r="C48"/>
      <c r="D48"/>
      <c r="E48"/>
      <c r="F48"/>
      <c r="G48"/>
      <c r="H48"/>
      <c r="I48"/>
      <c r="J48"/>
      <c r="K48"/>
      <c r="L48"/>
      <c r="M48"/>
      <c r="N48"/>
    </row>
    <row r="49" spans="1:14" s="19" customFormat="1" ht="18" customHeight="1">
      <c r="A49" s="1" t="s">
        <v>728</v>
      </c>
      <c r="B49"/>
      <c r="C49"/>
      <c r="D49"/>
      <c r="E49"/>
      <c r="F49"/>
      <c r="G49"/>
      <c r="H49"/>
      <c r="I49"/>
      <c r="J49" s="110">
        <f>J47*(1+$B$48)</f>
        <v>659375</v>
      </c>
      <c r="K49" s="110">
        <f>K47*(1+$B$48)</f>
        <v>1813500</v>
      </c>
      <c r="L49" s="110">
        <f>L47*(1+$B$48)</f>
        <v>3623360.0000000005</v>
      </c>
      <c r="M49" s="110">
        <f>M47*(1+$B$48)</f>
        <v>6137539.2000000002</v>
      </c>
      <c r="N49" s="110">
        <f>N47*(1+$B$48)</f>
        <v>9417361.4080000017</v>
      </c>
    </row>
  </sheetData>
  <mergeCells count="1">
    <mergeCell ref="A1:N1"/>
  </mergeCells>
  <pageMargins left="0.75" right="0.75" top="1" bottom="1" header="0.5" footer="0.5"/>
  <pageSetup scale="31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8963-BE7D-4EDF-AA03-4C6582E12411}">
  <sheetPr codeName="Sheet3">
    <tabColor rgb="FF92D050"/>
    <pageSetUpPr fitToPage="1"/>
  </sheetPr>
  <dimension ref="A1:H55"/>
  <sheetViews>
    <sheetView topLeftCell="A48" workbookViewId="0">
      <selection activeCell="C5" sqref="C5"/>
    </sheetView>
  </sheetViews>
  <sheetFormatPr defaultColWidth="8.81640625" defaultRowHeight="14"/>
  <cols>
    <col min="1" max="1" width="25.453125" style="7" customWidth="1"/>
    <col min="2" max="2" width="34.54296875" style="7" customWidth="1"/>
    <col min="3" max="3" width="12.1796875" style="9" customWidth="1"/>
    <col min="4" max="4" width="63.6328125" style="7" customWidth="1"/>
    <col min="5" max="5" width="7.26953125" style="7" customWidth="1"/>
    <col min="6" max="6" width="28.26953125" style="7" customWidth="1"/>
    <col min="7" max="7" width="35.1796875" style="7" customWidth="1"/>
    <col min="8" max="8" width="12.1796875" style="9" customWidth="1"/>
    <col min="9" max="9" width="60.7265625" style="7" customWidth="1"/>
    <col min="10" max="16384" width="8.81640625" style="7"/>
  </cols>
  <sheetData>
    <row r="1" spans="1:4" customFormat="1" ht="35" customHeight="1">
      <c r="A1" s="194" t="s">
        <v>511</v>
      </c>
      <c r="B1" s="194"/>
      <c r="C1" s="194"/>
      <c r="D1" s="194"/>
    </row>
    <row r="2" spans="1:4" ht="14.5">
      <c r="A2"/>
      <c r="B2"/>
      <c r="C2"/>
      <c r="D2"/>
    </row>
    <row r="3" spans="1:4" s="11" customFormat="1" ht="27.65" customHeight="1">
      <c r="A3" s="55" t="s">
        <v>512</v>
      </c>
      <c r="B3"/>
      <c r="C3"/>
      <c r="D3"/>
    </row>
    <row r="4" spans="1:4" ht="14.5">
      <c r="A4" s="57" t="s">
        <v>57</v>
      </c>
      <c r="B4" s="57" t="s">
        <v>58</v>
      </c>
      <c r="C4" s="63" t="s">
        <v>59</v>
      </c>
      <c r="D4" s="57" t="s">
        <v>60</v>
      </c>
    </row>
    <row r="5" spans="1:4" ht="14.5">
      <c r="A5" s="54" t="s">
        <v>513</v>
      </c>
      <c r="B5" s="54" t="s">
        <v>514</v>
      </c>
      <c r="C5" s="66">
        <f>Assumptions!B12</f>
        <v>0</v>
      </c>
      <c r="D5" s="59" t="s">
        <v>515</v>
      </c>
    </row>
    <row r="6" spans="1:4" ht="14.5">
      <c r="A6" s="54" t="s">
        <v>513</v>
      </c>
      <c r="B6" s="54" t="s">
        <v>516</v>
      </c>
      <c r="C6" s="66">
        <f>Assumptions!B13</f>
        <v>2500</v>
      </c>
      <c r="D6" s="59" t="s">
        <v>517</v>
      </c>
    </row>
    <row r="7" spans="1:4" ht="14.5">
      <c r="A7" s="54" t="s">
        <v>513</v>
      </c>
      <c r="B7" s="54" t="s">
        <v>518</v>
      </c>
      <c r="C7" s="66">
        <f>Assumptions!B14</f>
        <v>5000</v>
      </c>
      <c r="D7" s="59" t="s">
        <v>519</v>
      </c>
    </row>
    <row r="8" spans="1:4" ht="14.5">
      <c r="A8" s="54" t="s">
        <v>513</v>
      </c>
      <c r="B8" s="54" t="s">
        <v>520</v>
      </c>
      <c r="C8" s="66">
        <f>Assumptions!B15</f>
        <v>3500</v>
      </c>
      <c r="D8" s="59" t="s">
        <v>521</v>
      </c>
    </row>
    <row r="9" spans="1:4" ht="14.5">
      <c r="A9" s="54" t="s">
        <v>513</v>
      </c>
      <c r="B9" s="54" t="s">
        <v>522</v>
      </c>
      <c r="C9" s="66">
        <f>Assumptions!B16</f>
        <v>1200</v>
      </c>
      <c r="D9" s="59" t="s">
        <v>523</v>
      </c>
    </row>
    <row r="10" spans="1:4" ht="14.5">
      <c r="A10" s="54" t="s">
        <v>524</v>
      </c>
      <c r="B10" s="54" t="s">
        <v>525</v>
      </c>
      <c r="C10" s="67">
        <f>Assumptions!C12</f>
        <v>0</v>
      </c>
      <c r="D10" s="59" t="s">
        <v>526</v>
      </c>
    </row>
    <row r="11" spans="1:4" ht="14.5">
      <c r="A11" s="54" t="s">
        <v>524</v>
      </c>
      <c r="B11" s="54" t="s">
        <v>527</v>
      </c>
      <c r="C11" s="67">
        <f>Assumptions!C13</f>
        <v>0.08</v>
      </c>
      <c r="D11" s="59" t="s">
        <v>528</v>
      </c>
    </row>
    <row r="12" spans="1:4" ht="14.5">
      <c r="A12" s="54" t="s">
        <v>524</v>
      </c>
      <c r="B12" s="54" t="s">
        <v>529</v>
      </c>
      <c r="C12" s="67">
        <f>Assumptions!C14</f>
        <v>0.1</v>
      </c>
      <c r="D12" s="59" t="s">
        <v>428</v>
      </c>
    </row>
    <row r="13" spans="1:4" ht="14.5">
      <c r="A13" s="54" t="s">
        <v>524</v>
      </c>
      <c r="B13" s="54" t="s">
        <v>530</v>
      </c>
      <c r="C13" s="67">
        <f>Assumptions!C15</f>
        <v>0.09</v>
      </c>
      <c r="D13" s="59" t="s">
        <v>430</v>
      </c>
    </row>
    <row r="14" spans="1:4" ht="14.5">
      <c r="A14" s="54" t="s">
        <v>524</v>
      </c>
      <c r="B14" s="54" t="s">
        <v>531</v>
      </c>
      <c r="C14" s="67">
        <f>Assumptions!C16</f>
        <v>0.05</v>
      </c>
      <c r="D14" s="59" t="s">
        <v>432</v>
      </c>
    </row>
    <row r="15" spans="1:4" ht="14.5">
      <c r="A15" s="56" t="s">
        <v>524</v>
      </c>
      <c r="B15" s="56" t="s">
        <v>433</v>
      </c>
      <c r="C15" s="68">
        <f>Assumptions!C18</f>
        <v>6.4000000000000001E-2</v>
      </c>
      <c r="D15" s="59" t="s">
        <v>532</v>
      </c>
    </row>
    <row r="16" spans="1:4" ht="14.5">
      <c r="A16" s="54" t="s">
        <v>533</v>
      </c>
      <c r="B16" s="54" t="s">
        <v>534</v>
      </c>
      <c r="C16" s="65">
        <f>Assumptions!B71</f>
        <v>4</v>
      </c>
      <c r="D16" s="59" t="s">
        <v>535</v>
      </c>
    </row>
    <row r="18" spans="1:7" ht="14.5">
      <c r="A18"/>
      <c r="B18"/>
      <c r="C18"/>
      <c r="D18"/>
      <c r="E18"/>
      <c r="F18"/>
      <c r="G18"/>
    </row>
    <row r="19" spans="1:7" ht="16">
      <c r="A19" s="55" t="s">
        <v>536</v>
      </c>
      <c r="B19"/>
      <c r="C19"/>
      <c r="D19"/>
      <c r="E19"/>
      <c r="F19"/>
      <c r="G19"/>
    </row>
    <row r="20" spans="1:7" ht="14.5">
      <c r="A20" s="57" t="s">
        <v>57</v>
      </c>
      <c r="B20" s="57" t="s">
        <v>58</v>
      </c>
      <c r="C20" s="63" t="s">
        <v>59</v>
      </c>
      <c r="D20" s="57" t="s">
        <v>60</v>
      </c>
      <c r="E20"/>
      <c r="F20"/>
      <c r="G20"/>
    </row>
    <row r="21" spans="1:7" ht="14.5">
      <c r="A21" s="54" t="s">
        <v>61</v>
      </c>
      <c r="B21" s="54" t="s">
        <v>537</v>
      </c>
      <c r="C21" s="66">
        <f>Assumptions!B23</f>
        <v>149</v>
      </c>
      <c r="D21" s="59" t="s">
        <v>538</v>
      </c>
      <c r="E21"/>
      <c r="F21"/>
      <c r="G21"/>
    </row>
    <row r="22" spans="1:7" ht="14.5">
      <c r="A22" s="54" t="s">
        <v>61</v>
      </c>
      <c r="B22" s="54" t="s">
        <v>539</v>
      </c>
      <c r="C22" s="66">
        <f>Assumptions!B24</f>
        <v>399</v>
      </c>
      <c r="D22" s="59" t="s">
        <v>540</v>
      </c>
      <c r="E22"/>
      <c r="F22"/>
      <c r="G22"/>
    </row>
    <row r="23" spans="1:7" ht="14.5">
      <c r="A23" s="54" t="s">
        <v>61</v>
      </c>
      <c r="B23" s="54" t="s">
        <v>541</v>
      </c>
      <c r="C23" s="66">
        <f>Assumptions!B25</f>
        <v>999</v>
      </c>
      <c r="D23" s="59" t="s">
        <v>542</v>
      </c>
      <c r="E23"/>
      <c r="F23"/>
      <c r="G23"/>
    </row>
    <row r="24" spans="1:7" ht="14.5">
      <c r="A24" s="54" t="s">
        <v>543</v>
      </c>
      <c r="B24" s="54" t="s">
        <v>451</v>
      </c>
      <c r="C24" s="65">
        <f>Assumptions!F27</f>
        <v>0</v>
      </c>
      <c r="D24" s="62" t="s">
        <v>544</v>
      </c>
      <c r="E24"/>
      <c r="F24"/>
      <c r="G24"/>
    </row>
    <row r="25" spans="1:7" ht="14.5">
      <c r="A25" s="57" t="s">
        <v>545</v>
      </c>
      <c r="B25" s="57" t="s">
        <v>546</v>
      </c>
      <c r="C25" s="63" t="s">
        <v>27</v>
      </c>
      <c r="D25" s="69" t="s">
        <v>28</v>
      </c>
      <c r="E25" s="63" t="s">
        <v>29</v>
      </c>
      <c r="F25" s="63" t="s">
        <v>30</v>
      </c>
      <c r="G25"/>
    </row>
    <row r="26" spans="1:7" ht="14.5">
      <c r="A26" s="54" t="s">
        <v>545</v>
      </c>
      <c r="B26" s="54" t="s">
        <v>547</v>
      </c>
      <c r="C26" s="71">
        <f>Assumptions!C43</f>
        <v>0.12</v>
      </c>
      <c r="D26" s="71">
        <f>Assumptions!D43</f>
        <v>0.15</v>
      </c>
      <c r="E26" s="71">
        <f>Assumptions!E43</f>
        <v>0.18</v>
      </c>
      <c r="F26" s="71">
        <f>Assumptions!F43</f>
        <v>0.2</v>
      </c>
      <c r="G26"/>
    </row>
    <row r="27" spans="1:7" ht="14.5">
      <c r="A27"/>
      <c r="B27"/>
      <c r="C27"/>
      <c r="D27"/>
      <c r="E27"/>
      <c r="F27"/>
      <c r="G27"/>
    </row>
    <row r="28" spans="1:7" ht="14.5">
      <c r="A28" s="57" t="s">
        <v>376</v>
      </c>
      <c r="B28" s="57" t="s">
        <v>548</v>
      </c>
      <c r="C28" s="63" t="s">
        <v>26</v>
      </c>
      <c r="D28" s="63" t="s">
        <v>27</v>
      </c>
      <c r="E28" s="63" t="s">
        <v>28</v>
      </c>
      <c r="F28" s="63" t="s">
        <v>29</v>
      </c>
      <c r="G28" s="63" t="s">
        <v>30</v>
      </c>
    </row>
    <row r="29" spans="1:7" ht="14.5">
      <c r="A29" s="54" t="s">
        <v>376</v>
      </c>
      <c r="B29" s="54" t="s">
        <v>549</v>
      </c>
      <c r="C29" s="70" t="s">
        <v>550</v>
      </c>
      <c r="D29" s="71">
        <v>2</v>
      </c>
      <c r="E29" s="71">
        <v>3</v>
      </c>
      <c r="F29" s="71">
        <v>1.5</v>
      </c>
      <c r="G29" s="71">
        <v>1</v>
      </c>
    </row>
    <row r="30" spans="1:7" ht="14.5">
      <c r="A30"/>
      <c r="B30"/>
      <c r="C30"/>
      <c r="D30"/>
      <c r="E30"/>
      <c r="F30"/>
      <c r="G30"/>
    </row>
    <row r="31" spans="1:7" ht="16">
      <c r="A31" s="55" t="s">
        <v>551</v>
      </c>
      <c r="B31"/>
      <c r="C31"/>
      <c r="D31"/>
      <c r="E31"/>
      <c r="F31"/>
      <c r="G31"/>
    </row>
    <row r="32" spans="1:7" ht="14.5">
      <c r="A32" s="57" t="s">
        <v>57</v>
      </c>
      <c r="B32" s="57" t="s">
        <v>58</v>
      </c>
      <c r="C32" s="63" t="s">
        <v>59</v>
      </c>
      <c r="D32" s="57" t="s">
        <v>60</v>
      </c>
      <c r="E32"/>
      <c r="F32"/>
      <c r="G32"/>
    </row>
    <row r="33" spans="1:4" ht="14.5">
      <c r="A33" s="54" t="s">
        <v>552</v>
      </c>
      <c r="B33" s="54" t="s">
        <v>553</v>
      </c>
      <c r="C33" s="66">
        <f>Assumptions!B31</f>
        <v>99</v>
      </c>
      <c r="D33" s="59" t="s">
        <v>554</v>
      </c>
    </row>
    <row r="34" spans="1:4" ht="14.5">
      <c r="A34" s="54" t="s">
        <v>552</v>
      </c>
      <c r="B34" s="54" t="s">
        <v>555</v>
      </c>
      <c r="C34" s="66">
        <f>Assumptions!B32</f>
        <v>49</v>
      </c>
      <c r="D34" s="59" t="s">
        <v>556</v>
      </c>
    </row>
    <row r="35" spans="1:4" ht="14.5">
      <c r="A35" s="54" t="s">
        <v>552</v>
      </c>
      <c r="B35" s="54" t="s">
        <v>557</v>
      </c>
      <c r="C35" s="66">
        <f>Assumptions!B33</f>
        <v>199</v>
      </c>
      <c r="D35" s="59" t="s">
        <v>558</v>
      </c>
    </row>
    <row r="36" spans="1:4" ht="14.5">
      <c r="A36" s="54" t="s">
        <v>559</v>
      </c>
      <c r="B36" s="54" t="s">
        <v>462</v>
      </c>
      <c r="C36" s="73">
        <f>Assumptions!C34</f>
        <v>0.15</v>
      </c>
      <c r="D36" s="59" t="s">
        <v>560</v>
      </c>
    </row>
    <row r="37" spans="1:4" ht="14.5">
      <c r="A37" s="56" t="s">
        <v>14</v>
      </c>
      <c r="B37" s="56" t="s">
        <v>561</v>
      </c>
      <c r="C37" s="74">
        <f>(Assumptions!B31+Assumptions!B32+Assumptions!B33)/3*Assumptions!C34</f>
        <v>17.350000000000001</v>
      </c>
      <c r="D37" s="59" t="s">
        <v>562</v>
      </c>
    </row>
    <row r="38" spans="1:4" ht="14.5">
      <c r="A38"/>
      <c r="B38"/>
      <c r="C38"/>
      <c r="D38"/>
    </row>
    <row r="39" spans="1:4" ht="16">
      <c r="A39" s="55" t="s">
        <v>563</v>
      </c>
      <c r="B39"/>
      <c r="C39"/>
      <c r="D39"/>
    </row>
    <row r="40" spans="1:4" ht="14.5">
      <c r="A40" s="57" t="s">
        <v>495</v>
      </c>
      <c r="B40" s="63" t="s">
        <v>496</v>
      </c>
      <c r="C40"/>
      <c r="D40"/>
    </row>
    <row r="41" spans="1:4" ht="14.5">
      <c r="A41" s="54" t="s">
        <v>62</v>
      </c>
      <c r="B41" s="73">
        <f>Assumptions!B75</f>
        <v>0.1</v>
      </c>
      <c r="C41"/>
      <c r="D41"/>
    </row>
    <row r="42" spans="1:4" ht="14.5">
      <c r="A42" s="54" t="s">
        <v>497</v>
      </c>
      <c r="B42" s="73">
        <f>Assumptions!B76</f>
        <v>0.18</v>
      </c>
      <c r="C42"/>
      <c r="D42"/>
    </row>
    <row r="43" spans="1:4" ht="14.5">
      <c r="A43" s="54" t="s">
        <v>498</v>
      </c>
      <c r="B43" s="73">
        <f>Assumptions!B77</f>
        <v>0.25</v>
      </c>
      <c r="C43"/>
      <c r="D43"/>
    </row>
    <row r="44" spans="1:4" ht="14.5">
      <c r="A44" s="54" t="s">
        <v>499</v>
      </c>
      <c r="B44" s="73">
        <f>Assumptions!B78</f>
        <v>0.3</v>
      </c>
      <c r="C44"/>
      <c r="D44"/>
    </row>
    <row r="45" spans="1:4" ht="14.5">
      <c r="A45" s="54" t="s">
        <v>500</v>
      </c>
      <c r="B45" s="73">
        <f>Assumptions!B79</f>
        <v>0.32</v>
      </c>
      <c r="C45"/>
      <c r="D45"/>
    </row>
    <row r="46" spans="1:4" ht="14.5">
      <c r="A46" s="54" t="s">
        <v>501</v>
      </c>
      <c r="B46" s="73">
        <f>Assumptions!B80</f>
        <v>0.35</v>
      </c>
      <c r="C46"/>
      <c r="D46"/>
    </row>
    <row r="47" spans="1:4" ht="14.5">
      <c r="A47"/>
      <c r="B47"/>
      <c r="C47"/>
      <c r="D47"/>
    </row>
    <row r="48" spans="1:4" ht="16">
      <c r="A48" s="55" t="s">
        <v>564</v>
      </c>
      <c r="B48"/>
      <c r="C48"/>
      <c r="D48"/>
    </row>
    <row r="49" spans="1:4" ht="14.5">
      <c r="A49" s="57" t="s">
        <v>72</v>
      </c>
      <c r="B49" s="63" t="s">
        <v>59</v>
      </c>
      <c r="C49" s="63" t="s">
        <v>565</v>
      </c>
      <c r="D49" s="57" t="s">
        <v>566</v>
      </c>
    </row>
    <row r="50" spans="1:4" ht="14.5">
      <c r="A50" s="54" t="s">
        <v>567</v>
      </c>
      <c r="B50" s="75">
        <v>250000000000</v>
      </c>
      <c r="C50" s="76">
        <v>2023</v>
      </c>
      <c r="D50" s="59" t="s">
        <v>568</v>
      </c>
    </row>
    <row r="51" spans="1:4" ht="14.5">
      <c r="A51" s="54" t="s">
        <v>569</v>
      </c>
      <c r="B51" s="75">
        <v>480000000000</v>
      </c>
      <c r="C51" s="65" t="s">
        <v>570</v>
      </c>
      <c r="D51" s="59" t="s">
        <v>571</v>
      </c>
    </row>
    <row r="52" spans="1:4" ht="14.5">
      <c r="A52" s="54" t="s">
        <v>572</v>
      </c>
      <c r="B52" s="65" t="s">
        <v>573</v>
      </c>
      <c r="C52" s="65" t="s">
        <v>574</v>
      </c>
      <c r="D52" s="59" t="s">
        <v>575</v>
      </c>
    </row>
    <row r="53" spans="1:4" ht="14.5">
      <c r="A53" s="54" t="s">
        <v>576</v>
      </c>
      <c r="B53" s="65" t="s">
        <v>577</v>
      </c>
      <c r="C53" s="65" t="s">
        <v>578</v>
      </c>
      <c r="D53" s="59" t="s">
        <v>579</v>
      </c>
    </row>
    <row r="54" spans="1:4" s="6" customFormat="1" ht="30.65" customHeight="1">
      <c r="A54" s="54" t="s">
        <v>580</v>
      </c>
      <c r="B54" s="65" t="s">
        <v>581</v>
      </c>
      <c r="C54" s="76">
        <v>2024</v>
      </c>
      <c r="D54" s="59" t="s">
        <v>582</v>
      </c>
    </row>
    <row r="55" spans="1:4" ht="14.5">
      <c r="A55" s="54" t="s">
        <v>583</v>
      </c>
      <c r="B55" s="65" t="s">
        <v>584</v>
      </c>
      <c r="C55" s="65" t="s">
        <v>585</v>
      </c>
      <c r="D55" s="77" t="s">
        <v>586</v>
      </c>
    </row>
  </sheetData>
  <mergeCells count="1">
    <mergeCell ref="A1:D1"/>
  </mergeCells>
  <phoneticPr fontId="3" type="noConversion"/>
  <pageMargins left="0.7" right="0.7" top="0.75" bottom="0.75" header="0.3" footer="0.3"/>
  <pageSetup scale="32" fitToHeight="3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2331-7F1F-4869-851F-B482FCD6B673}">
  <sheetPr>
    <tabColor rgb="FF92D050"/>
    <pageSetUpPr fitToPage="1"/>
  </sheetPr>
  <dimension ref="A1:G50"/>
  <sheetViews>
    <sheetView topLeftCell="A21" workbookViewId="0">
      <selection activeCell="C5" sqref="C5"/>
    </sheetView>
  </sheetViews>
  <sheetFormatPr defaultColWidth="8.81640625" defaultRowHeight="18" customHeight="1"/>
  <cols>
    <col min="1" max="1" width="45.453125" style="12" customWidth="1"/>
    <col min="2" max="6" width="24.7265625" style="12" customWidth="1"/>
    <col min="7" max="7" width="45.453125" style="12" customWidth="1"/>
    <col min="8" max="16384" width="8.81640625" style="12"/>
  </cols>
  <sheetData>
    <row r="1" spans="1:7" customFormat="1" ht="35" customHeight="1">
      <c r="A1" s="194" t="s">
        <v>659</v>
      </c>
      <c r="B1" s="194"/>
      <c r="C1" s="194"/>
      <c r="D1" s="194"/>
      <c r="E1" s="194"/>
      <c r="F1" s="194"/>
      <c r="G1" s="194"/>
    </row>
    <row r="2" spans="1:7" ht="18" customHeight="1">
      <c r="A2" s="54"/>
      <c r="B2" s="94">
        <v>2026</v>
      </c>
      <c r="C2" s="94">
        <v>2027</v>
      </c>
      <c r="D2" s="94">
        <v>2028</v>
      </c>
      <c r="E2" s="94">
        <v>2029</v>
      </c>
      <c r="F2" s="94">
        <v>2030</v>
      </c>
      <c r="G2"/>
    </row>
    <row r="3" spans="1:7" ht="28.9" customHeight="1">
      <c r="A3" s="95" t="s">
        <v>660</v>
      </c>
      <c r="B3"/>
      <c r="C3"/>
      <c r="D3"/>
      <c r="E3"/>
      <c r="F3"/>
      <c r="G3"/>
    </row>
    <row r="4" spans="1:7" ht="36" customHeight="1">
      <c r="A4" s="54" t="s">
        <v>661</v>
      </c>
      <c r="B4" s="96">
        <f>Assumptions!B40</f>
        <v>500</v>
      </c>
      <c r="C4" s="96">
        <f>Assumptions!C40</f>
        <v>2000</v>
      </c>
      <c r="D4" s="96">
        <f>Assumptions!D40</f>
        <v>8000</v>
      </c>
      <c r="E4" s="96">
        <f>Assumptions!E40</f>
        <v>20000</v>
      </c>
      <c r="F4" s="96">
        <f>Assumptions!F40</f>
        <v>50000</v>
      </c>
      <c r="G4"/>
    </row>
    <row r="5" spans="1:7" ht="18" customHeight="1">
      <c r="A5" s="54" t="s">
        <v>662</v>
      </c>
      <c r="B5" s="96">
        <f>Assumptions!B40*Assumptions!B41</f>
        <v>75</v>
      </c>
      <c r="C5" s="96">
        <f>Assumptions!C40*Assumptions!C41</f>
        <v>400</v>
      </c>
      <c r="D5" s="96">
        <f>Assumptions!D40*Assumptions!D41</f>
        <v>2000</v>
      </c>
      <c r="E5" s="96">
        <f>Assumptions!E40*Assumptions!E41</f>
        <v>6000</v>
      </c>
      <c r="F5" s="96">
        <f>Assumptions!F40*Assumptions!F41</f>
        <v>17500</v>
      </c>
      <c r="G5"/>
    </row>
    <row r="6" spans="1:7" ht="18" customHeight="1">
      <c r="A6" s="54" t="s">
        <v>663</v>
      </c>
      <c r="B6" s="96">
        <f>Assumptions!B52+Assumptions!B53+Assumptions!B54</f>
        <v>115</v>
      </c>
      <c r="C6" s="96">
        <f>Assumptions!C52+Assumptions!C53+Assumptions!C54</f>
        <v>295</v>
      </c>
      <c r="D6" s="96">
        <f>Assumptions!D52+Assumptions!D53+Assumptions!D54</f>
        <v>740</v>
      </c>
      <c r="E6" s="96">
        <f>Assumptions!E52+Assumptions!E53+Assumptions!E54</f>
        <v>1480</v>
      </c>
      <c r="F6" s="96">
        <f>Assumptions!F52+Assumptions!F53+Assumptions!F54</f>
        <v>2960</v>
      </c>
      <c r="G6"/>
    </row>
    <row r="7" spans="1:7" ht="18" customHeight="1">
      <c r="A7" s="56" t="s">
        <v>664</v>
      </c>
      <c r="B7" s="64">
        <f>B4+B6</f>
        <v>615</v>
      </c>
      <c r="C7" s="64">
        <f>C4+C6</f>
        <v>2295</v>
      </c>
      <c r="D7" s="64">
        <f>D4+D6</f>
        <v>8740</v>
      </c>
      <c r="E7" s="64">
        <f>E4+E6</f>
        <v>21480</v>
      </c>
      <c r="F7" s="64">
        <f>F4+F6</f>
        <v>52960</v>
      </c>
      <c r="G7"/>
    </row>
    <row r="8" spans="1:7" s="14" customFormat="1" ht="28.15" customHeight="1">
      <c r="A8" s="54" t="s">
        <v>665</v>
      </c>
      <c r="B8" s="96">
        <f>Assumptions!B69</f>
        <v>140</v>
      </c>
      <c r="C8" s="96">
        <f>Assumptions!C69</f>
        <v>630</v>
      </c>
      <c r="D8" s="96">
        <f>Assumptions!D69</f>
        <v>2500</v>
      </c>
      <c r="E8" s="96">
        <f>Assumptions!E69</f>
        <v>6300</v>
      </c>
      <c r="F8" s="96">
        <f>Assumptions!F69</f>
        <v>16000</v>
      </c>
      <c r="G8"/>
    </row>
    <row r="9" spans="1:7" ht="10.15" customHeight="1">
      <c r="A9"/>
      <c r="B9"/>
      <c r="C9"/>
      <c r="D9"/>
      <c r="E9"/>
      <c r="F9"/>
      <c r="G9"/>
    </row>
    <row r="10" spans="1:7" ht="28.9" customHeight="1">
      <c r="A10" s="95" t="s">
        <v>666</v>
      </c>
      <c r="B10"/>
      <c r="C10"/>
      <c r="D10"/>
      <c r="E10"/>
      <c r="F10"/>
      <c r="G10"/>
    </row>
    <row r="11" spans="1:7" ht="36" customHeight="1">
      <c r="A11" s="97" t="s">
        <v>667</v>
      </c>
      <c r="B11" s="98">
        <f>'LLM Costs'!B12*B5*12*'LLM Costs'!B52</f>
        <v>72.900000000000006</v>
      </c>
      <c r="C11" s="98">
        <f>'LLM Costs'!B12*C5*12*'LLM Costs'!C52</f>
        <v>194.39999999999998</v>
      </c>
      <c r="D11" s="98">
        <f>'LLM Costs'!B12*D5*12*'LLM Costs'!D52</f>
        <v>486</v>
      </c>
      <c r="E11" s="98">
        <f>'LLM Costs'!B12*E5*12*'LLM Costs'!E52</f>
        <v>729</v>
      </c>
      <c r="F11" s="98">
        <f>'LLM Costs'!B12*F5*12*'LLM Costs'!F52</f>
        <v>1063.125</v>
      </c>
      <c r="G11" s="59" t="s">
        <v>668</v>
      </c>
    </row>
    <row r="12" spans="1:7" ht="18" customHeight="1">
      <c r="A12" s="97" t="s">
        <v>669</v>
      </c>
      <c r="B12" s="98">
        <f>'LLM Costs'!C20*B8*'LLM Costs'!B52</f>
        <v>37.800000000000004</v>
      </c>
      <c r="C12" s="98">
        <f>'LLM Costs'!C20*C8*'LLM Costs'!C52</f>
        <v>85.050000000000011</v>
      </c>
      <c r="D12" s="98">
        <f>'LLM Costs'!C20*D8*'LLM Costs'!D52</f>
        <v>168.75</v>
      </c>
      <c r="E12" s="98">
        <f>'LLM Costs'!C20*E8*'LLM Costs'!E52</f>
        <v>212.625</v>
      </c>
      <c r="F12" s="98">
        <f>'LLM Costs'!C20*F8*'LLM Costs'!F52</f>
        <v>270</v>
      </c>
      <c r="G12" s="59" t="s">
        <v>670</v>
      </c>
    </row>
    <row r="13" spans="1:7" ht="18" customHeight="1">
      <c r="A13" s="97" t="s">
        <v>671</v>
      </c>
      <c r="B13" s="98">
        <f>'LLM Costs'!C27*B8*12*'LLM Costs'!B52</f>
        <v>15.120000000000003</v>
      </c>
      <c r="C13" s="98">
        <f>'LLM Costs'!C27*C8*12*'LLM Costs'!C52</f>
        <v>34.020000000000003</v>
      </c>
      <c r="D13" s="98">
        <f>'LLM Costs'!C27*D8*12*'LLM Costs'!D52</f>
        <v>67.500000000000014</v>
      </c>
      <c r="E13" s="98">
        <f>'LLM Costs'!C27*E8*12*'LLM Costs'!E52</f>
        <v>85.050000000000011</v>
      </c>
      <c r="F13" s="98">
        <f>'LLM Costs'!C27*F8*12*'LLM Costs'!F52</f>
        <v>108.00000000000003</v>
      </c>
      <c r="G13" s="59" t="s">
        <v>672</v>
      </c>
    </row>
    <row r="14" spans="1:7" ht="18" customHeight="1">
      <c r="A14" s="97" t="s">
        <v>673</v>
      </c>
      <c r="B14" s="98">
        <f>(B5*'LLM Costs'!B35+B6*'LLM Costs'!C36)*12*'LLM Costs'!B52</f>
        <v>76.859999999999985</v>
      </c>
      <c r="C14" s="98">
        <f>(C5*'LLM Costs'!B35+C6*'LLM Costs'!C36)*12*'LLM Costs'!C52</f>
        <v>124.74</v>
      </c>
      <c r="D14" s="98">
        <f>(D5*'LLM Costs'!B35+D6*'LLM Costs'!C36)*12*'LLM Costs'!D52</f>
        <v>219.23999999999995</v>
      </c>
      <c r="E14" s="98">
        <f>(E5*'LLM Costs'!B35+E6*'LLM Costs'!C36)*12*'LLM Costs'!E52</f>
        <v>282.23999999999995</v>
      </c>
      <c r="F14" s="98">
        <f>(F5*'LLM Costs'!B35+F6*'LLM Costs'!C36)*12*'LLM Costs'!F52</f>
        <v>368.86499999999995</v>
      </c>
      <c r="G14" s="59" t="s">
        <v>674</v>
      </c>
    </row>
    <row r="15" spans="1:7" s="14" customFormat="1" ht="28.15" customHeight="1">
      <c r="A15" s="99" t="s">
        <v>675</v>
      </c>
      <c r="B15" s="100">
        <f>SUM(B11:B14)</f>
        <v>202.68</v>
      </c>
      <c r="C15" s="100">
        <f>SUM(C11:C14)</f>
        <v>438.21</v>
      </c>
      <c r="D15" s="100">
        <f>SUM(D11:D14)</f>
        <v>941.49</v>
      </c>
      <c r="E15" s="100">
        <f>SUM(E11:E14)</f>
        <v>1308.915</v>
      </c>
      <c r="F15" s="100">
        <f>SUM(F11:F14)</f>
        <v>1809.99</v>
      </c>
      <c r="G15"/>
    </row>
    <row r="17" spans="1:7" ht="28.9" customHeight="1">
      <c r="A17" s="101" t="s">
        <v>676</v>
      </c>
      <c r="B17"/>
      <c r="C17"/>
      <c r="D17"/>
      <c r="E17"/>
      <c r="F17"/>
      <c r="G17"/>
    </row>
    <row r="18" spans="1:7" ht="18" customHeight="1">
      <c r="A18" s="54" t="s">
        <v>677</v>
      </c>
      <c r="B18" s="98">
        <f>(B7*0.5+B8*0.02)*12</f>
        <v>3723.6000000000004</v>
      </c>
      <c r="C18" s="98">
        <f>(C7*0.5+C8*0.02)*12</f>
        <v>13921.199999999999</v>
      </c>
      <c r="D18" s="98">
        <f>(D7*0.5+D8*0.02)*12</f>
        <v>53040</v>
      </c>
      <c r="E18" s="98">
        <f>(E7*0.5+E8*0.02)*12</f>
        <v>130392</v>
      </c>
      <c r="F18" s="98">
        <f>(F7*0.5+F8*0.02)*12</f>
        <v>321600</v>
      </c>
      <c r="G18" s="59" t="s">
        <v>678</v>
      </c>
    </row>
    <row r="19" spans="1:7" ht="18" customHeight="1">
      <c r="A19" s="54" t="s">
        <v>679</v>
      </c>
      <c r="B19" s="98">
        <f>B7*0.15*12</f>
        <v>1107</v>
      </c>
      <c r="C19" s="98">
        <f>C7*0.15*12</f>
        <v>4131</v>
      </c>
      <c r="D19" s="98">
        <f>D7*0.15*12</f>
        <v>15732</v>
      </c>
      <c r="E19" s="98">
        <f>E7*0.15*12</f>
        <v>38664</v>
      </c>
      <c r="F19" s="98">
        <f>F7*0.15*12</f>
        <v>95328</v>
      </c>
      <c r="G19" s="59" t="s">
        <v>680</v>
      </c>
    </row>
    <row r="20" spans="1:7" ht="18" customHeight="1">
      <c r="A20" s="54" t="s">
        <v>681</v>
      </c>
      <c r="B20" s="98">
        <f>B7*0.05*12</f>
        <v>369</v>
      </c>
      <c r="C20" s="98">
        <f>C7*0.05*12</f>
        <v>1377</v>
      </c>
      <c r="D20" s="98">
        <f>D7*0.05*12</f>
        <v>5244</v>
      </c>
      <c r="E20" s="98">
        <f>E7*0.05*12</f>
        <v>12888</v>
      </c>
      <c r="F20" s="98">
        <f>F7*0.05*12</f>
        <v>31776</v>
      </c>
      <c r="G20" s="59" t="s">
        <v>682</v>
      </c>
    </row>
    <row r="21" spans="1:7" ht="18" customHeight="1">
      <c r="A21" s="54" t="s">
        <v>683</v>
      </c>
      <c r="B21" s="98">
        <f>(500+B6*0.1)*12</f>
        <v>6138</v>
      </c>
      <c r="C21" s="98">
        <f>(500+C6*0.1)*12</f>
        <v>6354</v>
      </c>
      <c r="D21" s="98">
        <f>(500+D6*0.1)*12</f>
        <v>6888</v>
      </c>
      <c r="E21" s="98">
        <f>(500+E6*0.1)*12</f>
        <v>7776</v>
      </c>
      <c r="F21" s="98">
        <f>(500+F6*0.1)*12</f>
        <v>9552</v>
      </c>
      <c r="G21" s="59" t="s">
        <v>684</v>
      </c>
    </row>
    <row r="22" spans="1:7" ht="18" customHeight="1">
      <c r="A22" s="162" t="s">
        <v>958</v>
      </c>
      <c r="B22">
        <f>-SUM(B18:B21)*Assumptions!B96</f>
        <v>0</v>
      </c>
      <c r="C22">
        <f>-SUM(C18:C21)*Assumptions!C96</f>
        <v>0</v>
      </c>
      <c r="D22">
        <f>-SUM(D18:D21)*Assumptions!D96</f>
        <v>-8090.4000000000005</v>
      </c>
      <c r="E22">
        <f>-SUM(E18:E21)*Assumptions!E96</f>
        <v>-28458</v>
      </c>
      <c r="F22">
        <f>-SUM(F18:F21)*Assumptions!F96</f>
        <v>-91651.200000000012</v>
      </c>
      <c r="G22" s="58" t="s">
        <v>959</v>
      </c>
    </row>
    <row r="23" spans="1:7" ht="18" customHeight="1">
      <c r="A23" s="56" t="s">
        <v>71</v>
      </c>
      <c r="B23" s="100">
        <f>SUM(B18:B22)</f>
        <v>11337.6</v>
      </c>
      <c r="C23" s="100">
        <f>SUM(C18:C22)</f>
        <v>25783.199999999997</v>
      </c>
      <c r="D23" s="100">
        <f>SUM(D18:D22)</f>
        <v>72813.600000000006</v>
      </c>
      <c r="E23" s="100">
        <f>SUM(E18:E22)</f>
        <v>161262</v>
      </c>
      <c r="F23" s="100">
        <f>SUM(F18:F22)</f>
        <v>366604.79999999999</v>
      </c>
      <c r="G23"/>
    </row>
    <row r="24" spans="1:7" s="14" customFormat="1" ht="28.15" customHeight="1">
      <c r="A24"/>
      <c r="B24"/>
      <c r="C24"/>
      <c r="D24"/>
      <c r="E24"/>
      <c r="F24"/>
      <c r="G24"/>
    </row>
    <row r="25" spans="1:7" ht="18" customHeight="1">
      <c r="A25" s="95" t="s">
        <v>685</v>
      </c>
      <c r="B25"/>
      <c r="C25"/>
      <c r="D25"/>
      <c r="E25"/>
      <c r="F25"/>
      <c r="G25"/>
    </row>
    <row r="26" spans="1:7" ht="18" customHeight="1">
      <c r="A26" s="54" t="s">
        <v>686</v>
      </c>
      <c r="B26" s="98">
        <f>B5*0.5*12</f>
        <v>450</v>
      </c>
      <c r="C26" s="98">
        <f>C5*0.5*12</f>
        <v>2400</v>
      </c>
      <c r="D26" s="98">
        <f>D5*0.5*12</f>
        <v>12000</v>
      </c>
      <c r="E26" s="98">
        <f>E5*0.5*12</f>
        <v>36000</v>
      </c>
      <c r="F26" s="98">
        <f>F5*0.5*12</f>
        <v>105000</v>
      </c>
      <c r="G26" s="59" t="s">
        <v>687</v>
      </c>
    </row>
    <row r="27" spans="1:7" ht="18" customHeight="1">
      <c r="A27" s="54" t="s">
        <v>688</v>
      </c>
      <c r="B27" s="98">
        <f>(Assumptions!B52*5+Assumptions!B53*15+Assumptions!B54*50)*12</f>
        <v>13200</v>
      </c>
      <c r="C27" s="98">
        <f>(Assumptions!C52*5+Assumptions!C53*15+Assumptions!C54*50)*12</f>
        <v>35400</v>
      </c>
      <c r="D27" s="98">
        <f>(Assumptions!D52*5+Assumptions!D53*15+Assumptions!D54*50)*12</f>
        <v>90000</v>
      </c>
      <c r="E27" s="98">
        <f>(Assumptions!E52*5+Assumptions!E53*15+Assumptions!E54*50)*12</f>
        <v>180000</v>
      </c>
      <c r="F27" s="98">
        <f>(Assumptions!F52*5+Assumptions!F53*15+Assumptions!F54*50)*12</f>
        <v>360000</v>
      </c>
      <c r="G27" s="59" t="s">
        <v>689</v>
      </c>
    </row>
    <row r="28" spans="1:7" ht="18" customHeight="1">
      <c r="A28" s="56" t="s">
        <v>690</v>
      </c>
      <c r="B28" s="100">
        <f>SUM(B26:B27)</f>
        <v>13650</v>
      </c>
      <c r="C28" s="100">
        <f>SUM(C26:C27)</f>
        <v>37800</v>
      </c>
      <c r="D28" s="100">
        <f>SUM(D26:D27)</f>
        <v>102000</v>
      </c>
      <c r="E28" s="100">
        <f>SUM(E26:E27)</f>
        <v>216000</v>
      </c>
      <c r="F28" s="100">
        <f>SUM(F26:F27)</f>
        <v>465000</v>
      </c>
      <c r="G28"/>
    </row>
    <row r="29" spans="1:7" ht="18" customHeight="1">
      <c r="A29"/>
      <c r="B29"/>
      <c r="C29"/>
      <c r="D29"/>
      <c r="E29"/>
      <c r="F29"/>
      <c r="G29"/>
    </row>
    <row r="30" spans="1:7" ht="18" customHeight="1">
      <c r="A30" s="111" t="s">
        <v>935</v>
      </c>
      <c r="B30" s="132"/>
      <c r="C30" s="132"/>
      <c r="D30" s="132"/>
      <c r="E30" s="132"/>
      <c r="F30" s="132"/>
      <c r="G30" s="132"/>
    </row>
    <row r="31" spans="1:7" ht="18" customHeight="1">
      <c r="A31" s="53" t="s">
        <v>957</v>
      </c>
      <c r="B31">
        <f>'Income Statement'!B10*Assumptions!B95</f>
        <v>11375.337000000001</v>
      </c>
      <c r="C31">
        <f>'Income Statement'!C10*Assumptions!C95</f>
        <v>33867.911</v>
      </c>
      <c r="D31">
        <f>'Income Statement'!D10*Assumptions!D95</f>
        <v>83909.700000000012</v>
      </c>
      <c r="E31">
        <f>'Income Statement'!E10*Assumptions!E95</f>
        <v>160331.07199999999</v>
      </c>
      <c r="F31">
        <f>'Income Statement'!F10*Assumptions!F95</f>
        <v>356907.14399999997</v>
      </c>
      <c r="G31" s="58" t="s">
        <v>936</v>
      </c>
    </row>
    <row r="32" spans="1:7" ht="18" customHeight="1">
      <c r="A32" s="53" t="s">
        <v>937</v>
      </c>
      <c r="B32">
        <f>(B6*12+B8)*0.3</f>
        <v>456</v>
      </c>
      <c r="C32">
        <f>(C6*12+C8)*0.3</f>
        <v>1251</v>
      </c>
      <c r="D32">
        <f>(D6*12+D8)*0.3</f>
        <v>3414</v>
      </c>
      <c r="E32">
        <f>(E6*12+E8)*0.3</f>
        <v>7218</v>
      </c>
      <c r="F32">
        <f>(F6*12+F8)*0.3</f>
        <v>15456</v>
      </c>
      <c r="G32" s="58" t="s">
        <v>938</v>
      </c>
    </row>
    <row r="33" spans="1:7" ht="18" customHeight="1">
      <c r="A33" s="133" t="s">
        <v>939</v>
      </c>
      <c r="B33">
        <f>SUM(B31:B32)</f>
        <v>11831.337000000001</v>
      </c>
      <c r="C33">
        <f>SUM(C31:C32)</f>
        <v>35118.911</v>
      </c>
      <c r="D33">
        <f>SUM(D31:D32)</f>
        <v>87323.700000000012</v>
      </c>
      <c r="E33">
        <f>SUM(E31:E32)</f>
        <v>167549.07199999999</v>
      </c>
      <c r="F33">
        <f>SUM(F31:F32)</f>
        <v>372363.14399999997</v>
      </c>
      <c r="G33"/>
    </row>
    <row r="34" spans="1:7" ht="18" customHeight="1">
      <c r="A34"/>
      <c r="B34"/>
      <c r="C34"/>
      <c r="D34"/>
      <c r="E34"/>
      <c r="F34"/>
      <c r="G34"/>
    </row>
    <row r="35" spans="1:7" ht="18" customHeight="1">
      <c r="A35" s="111" t="s">
        <v>949</v>
      </c>
      <c r="B35" s="132"/>
      <c r="C35" s="132"/>
      <c r="D35" s="132"/>
      <c r="E35" s="132"/>
      <c r="F35" s="132"/>
      <c r="G35"/>
    </row>
    <row r="36" spans="1:7" ht="18" customHeight="1">
      <c r="A36" s="53" t="s">
        <v>950</v>
      </c>
      <c r="B36">
        <f>Assumptions!$B$92*B8</f>
        <v>2100</v>
      </c>
      <c r="C36">
        <f>Assumptions!$B$92*C8</f>
        <v>9450</v>
      </c>
      <c r="D36">
        <f>Assumptions!$B$92*D8</f>
        <v>37500</v>
      </c>
      <c r="E36">
        <f>Assumptions!$B$92*E8</f>
        <v>94500</v>
      </c>
      <c r="F36">
        <f>Assumptions!$B$92*F8</f>
        <v>240000</v>
      </c>
      <c r="G36" s="58" t="s">
        <v>951</v>
      </c>
    </row>
    <row r="37" spans="1:7" ht="18" customHeight="1">
      <c r="A37" s="53" t="s">
        <v>952</v>
      </c>
      <c r="B37">
        <f>Assumptions!$B$93*B5</f>
        <v>225</v>
      </c>
      <c r="C37">
        <f>Assumptions!$B$93*C5</f>
        <v>1200</v>
      </c>
      <c r="D37">
        <f>Assumptions!$B$93*D5</f>
        <v>6000</v>
      </c>
      <c r="E37">
        <f>Assumptions!$B$93*E5</f>
        <v>18000</v>
      </c>
      <c r="F37">
        <f>Assumptions!$B$93*F5</f>
        <v>52500</v>
      </c>
      <c r="G37" s="58" t="s">
        <v>953</v>
      </c>
    </row>
    <row r="38" spans="1:7" ht="18" customHeight="1">
      <c r="A38" s="53" t="s">
        <v>954</v>
      </c>
      <c r="B38">
        <f>Assumptions!$B$94*B8</f>
        <v>2800</v>
      </c>
      <c r="C38">
        <f>Assumptions!$B$94*C8</f>
        <v>12600</v>
      </c>
      <c r="D38">
        <f>Assumptions!$B$94*D8</f>
        <v>50000</v>
      </c>
      <c r="E38">
        <f>Assumptions!$B$94*E8</f>
        <v>126000</v>
      </c>
      <c r="F38">
        <f>Assumptions!$B$94*F8</f>
        <v>320000</v>
      </c>
      <c r="G38" s="58" t="s">
        <v>955</v>
      </c>
    </row>
    <row r="39" spans="1:7" ht="18" customHeight="1">
      <c r="A39" s="133" t="s">
        <v>956</v>
      </c>
      <c r="B39">
        <f>SUM(B36:B38)</f>
        <v>5125</v>
      </c>
      <c r="C39">
        <f>SUM(C36:C38)</f>
        <v>23250</v>
      </c>
      <c r="D39">
        <f>SUM(D36:D38)</f>
        <v>93500</v>
      </c>
      <c r="E39">
        <f>SUM(E36:E38)</f>
        <v>238500</v>
      </c>
      <c r="F39">
        <f>SUM(F36:F38)</f>
        <v>612500</v>
      </c>
      <c r="G39"/>
    </row>
    <row r="40" spans="1:7" ht="18" customHeight="1">
      <c r="A40"/>
      <c r="B40"/>
      <c r="C40"/>
      <c r="D40"/>
      <c r="E40"/>
      <c r="F40"/>
      <c r="G40"/>
    </row>
    <row r="41" spans="1:7" ht="18" customHeight="1">
      <c r="A41"/>
      <c r="B41"/>
      <c r="C41"/>
      <c r="D41"/>
      <c r="E41"/>
      <c r="F41"/>
      <c r="G41"/>
    </row>
    <row r="42" spans="1:7" s="14" customFormat="1" ht="28.15" customHeight="1">
      <c r="A42" s="95" t="s">
        <v>691</v>
      </c>
      <c r="B42"/>
      <c r="C42"/>
      <c r="D42"/>
      <c r="E42"/>
      <c r="F42"/>
      <c r="G42"/>
    </row>
    <row r="43" spans="1:7" ht="18" customHeight="1">
      <c r="A43" s="54" t="s">
        <v>675</v>
      </c>
      <c r="B43" s="98">
        <f>B15</f>
        <v>202.68</v>
      </c>
      <c r="C43" s="98">
        <f>C15</f>
        <v>438.21</v>
      </c>
      <c r="D43" s="98">
        <f>D15</f>
        <v>941.49</v>
      </c>
      <c r="E43" s="98">
        <f>E15</f>
        <v>1308.915</v>
      </c>
      <c r="F43" s="98">
        <f>F15</f>
        <v>1809.99</v>
      </c>
      <c r="G43"/>
    </row>
    <row r="44" spans="1:7" ht="18" customHeight="1">
      <c r="A44" s="54" t="s">
        <v>71</v>
      </c>
      <c r="B44" s="98">
        <f>B23</f>
        <v>11337.6</v>
      </c>
      <c r="C44" s="98">
        <f>C23</f>
        <v>25783.199999999997</v>
      </c>
      <c r="D44" s="98">
        <f>D23</f>
        <v>72813.600000000006</v>
      </c>
      <c r="E44" s="98">
        <f>E23</f>
        <v>161262</v>
      </c>
      <c r="F44" s="98">
        <f>F23</f>
        <v>366604.79999999999</v>
      </c>
      <c r="G44"/>
    </row>
    <row r="45" spans="1:7" ht="18" customHeight="1">
      <c r="A45" s="54" t="s">
        <v>690</v>
      </c>
      <c r="B45" s="98">
        <f>B28</f>
        <v>13650</v>
      </c>
      <c r="C45" s="98">
        <f>C28</f>
        <v>37800</v>
      </c>
      <c r="D45" s="98">
        <f>D28</f>
        <v>102000</v>
      </c>
      <c r="E45" s="98">
        <f>E28</f>
        <v>216000</v>
      </c>
      <c r="F45" s="98">
        <f>F28</f>
        <v>465000</v>
      </c>
      <c r="G45"/>
    </row>
    <row r="46" spans="1:7" ht="18" customHeight="1">
      <c r="A46" s="54" t="s">
        <v>939</v>
      </c>
      <c r="B46" s="98">
        <f>B33</f>
        <v>11831.337000000001</v>
      </c>
      <c r="C46" s="98">
        <f>C33</f>
        <v>35118.911</v>
      </c>
      <c r="D46" s="98">
        <f>D33</f>
        <v>87323.700000000012</v>
      </c>
      <c r="E46" s="98">
        <f>E33</f>
        <v>167549.07199999999</v>
      </c>
      <c r="F46" s="98">
        <f>F33</f>
        <v>372363.14399999997</v>
      </c>
      <c r="G46"/>
    </row>
    <row r="47" spans="1:7" ht="18" customHeight="1">
      <c r="A47" s="53" t="s">
        <v>956</v>
      </c>
      <c r="B47">
        <f>B39</f>
        <v>5125</v>
      </c>
      <c r="C47">
        <f>C39</f>
        <v>23250</v>
      </c>
      <c r="D47">
        <f>D39</f>
        <v>93500</v>
      </c>
      <c r="E47">
        <f>E39</f>
        <v>238500</v>
      </c>
      <c r="F47">
        <f>F39</f>
        <v>612500</v>
      </c>
      <c r="G47"/>
    </row>
    <row r="48" spans="1:7" ht="18" customHeight="1">
      <c r="A48" s="102" t="s">
        <v>692</v>
      </c>
      <c r="B48" s="103">
        <f>B43+B44+B45+B46+B47</f>
        <v>42146.616999999998</v>
      </c>
      <c r="C48" s="103">
        <f>C43+C44+C45+C46+C47</f>
        <v>122390.321</v>
      </c>
      <c r="D48" s="103">
        <f>D43+D44+D45+D46+D47</f>
        <v>356578.79000000004</v>
      </c>
      <c r="E48" s="103">
        <f>E43+E44+E45+E46+E47</f>
        <v>784619.98699999996</v>
      </c>
      <c r="F48" s="103">
        <f>F43+F44+F45+F46+F47</f>
        <v>1818277.9339999999</v>
      </c>
      <c r="G48"/>
    </row>
    <row r="50" spans="1:1" s="14" customFormat="1" ht="28.15" customHeight="1">
      <c r="A50" s="126" t="s">
        <v>960</v>
      </c>
    </row>
  </sheetData>
  <mergeCells count="1">
    <mergeCell ref="A1:G1"/>
  </mergeCells>
  <phoneticPr fontId="3" type="noConversion"/>
  <pageMargins left="0.75" right="0.75" top="1" bottom="1" header="0.5" footer="0.5"/>
  <pageSetup scale="46" fitToHeight="2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2793-31F5-4BBD-814C-D8681D8FCCCF}">
  <sheetPr>
    <tabColor rgb="FF92D050"/>
    <pageSetUpPr fitToPage="1"/>
  </sheetPr>
  <dimension ref="A1:L8"/>
  <sheetViews>
    <sheetView workbookViewId="0">
      <selection activeCell="C5" sqref="C5"/>
    </sheetView>
  </sheetViews>
  <sheetFormatPr defaultColWidth="8.81640625" defaultRowHeight="16"/>
  <cols>
    <col min="1" max="1" width="42.453125" style="26" customWidth="1"/>
    <col min="2" max="4" width="23.26953125" style="26" customWidth="1"/>
    <col min="5" max="5" width="28.81640625" style="26" customWidth="1"/>
    <col min="6" max="7" width="7.1796875" style="29" customWidth="1"/>
    <col min="8" max="8" width="10.1796875" style="26" customWidth="1"/>
    <col min="9" max="9" width="34.1796875" style="26" customWidth="1"/>
    <col min="10" max="10" width="34.7265625" style="30" customWidth="1"/>
    <col min="11" max="11" width="22.1796875" style="30" customWidth="1"/>
    <col min="12" max="12" width="20.7265625" style="30" customWidth="1"/>
    <col min="13" max="13" width="42.7265625" style="26" customWidth="1"/>
    <col min="14" max="14" width="13.26953125" style="26" customWidth="1"/>
    <col min="15" max="19" width="20.7265625" style="26" customWidth="1"/>
    <col min="20" max="20" width="12.453125" style="26" customWidth="1"/>
    <col min="21" max="24" width="21" style="26" customWidth="1"/>
    <col min="25" max="16384" width="8.81640625" style="26"/>
  </cols>
  <sheetData>
    <row r="1" spans="1:6" customFormat="1" ht="35" customHeight="1">
      <c r="A1" s="197" t="s">
        <v>923</v>
      </c>
      <c r="B1" s="197"/>
      <c r="C1" s="197"/>
      <c r="D1" s="197"/>
      <c r="E1" s="197"/>
      <c r="F1" s="197"/>
    </row>
    <row r="2" spans="1:6" s="25" customFormat="1" ht="27.65" customHeight="1">
      <c r="A2"/>
      <c r="B2"/>
      <c r="C2"/>
      <c r="D2"/>
      <c r="E2"/>
      <c r="F2"/>
    </row>
    <row r="3" spans="1:6" s="25" customFormat="1" ht="27.65" customHeight="1">
      <c r="A3" t="s">
        <v>961</v>
      </c>
      <c r="B3"/>
      <c r="C3"/>
      <c r="D3"/>
      <c r="E3"/>
      <c r="F3"/>
    </row>
    <row r="4" spans="1:6" s="27" customFormat="1" ht="25.9" customHeight="1">
      <c r="A4" s="53" t="s">
        <v>962</v>
      </c>
      <c r="B4"/>
      <c r="C4"/>
      <c r="D4"/>
      <c r="E4"/>
      <c r="F4"/>
    </row>
    <row r="5" spans="1:6" s="28" customFormat="1" ht="24" customHeight="1">
      <c r="A5" s="53" t="s">
        <v>963</v>
      </c>
      <c r="B5"/>
      <c r="C5"/>
      <c r="D5"/>
      <c r="E5"/>
      <c r="F5"/>
    </row>
    <row r="6" spans="1:6" s="28" customFormat="1" ht="18" customHeight="1">
      <c r="A6" s="53" t="s">
        <v>964</v>
      </c>
      <c r="B6"/>
      <c r="C6"/>
      <c r="D6"/>
      <c r="E6"/>
      <c r="F6"/>
    </row>
    <row r="7" spans="1:6" s="28" customFormat="1" ht="18" customHeight="1">
      <c r="A7"/>
      <c r="B7"/>
      <c r="C7"/>
      <c r="D7"/>
      <c r="E7"/>
      <c r="F7"/>
    </row>
    <row r="8" spans="1:6" s="28" customFormat="1" ht="24" customHeight="1">
      <c r="A8" s="160" t="s">
        <v>965</v>
      </c>
      <c r="B8"/>
      <c r="C8"/>
      <c r="D8"/>
      <c r="E8"/>
      <c r="F8"/>
    </row>
  </sheetData>
  <mergeCells count="1">
    <mergeCell ref="A1:F1"/>
  </mergeCells>
  <pageMargins left="0.75" right="0.75" top="1" bottom="1" header="0.5" footer="0.5"/>
  <pageSetup scale="17" fitToHeight="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F3E8-7F92-41BB-948B-0D42B10F7BD1}">
  <sheetPr>
    <tabColor rgb="FF92D050"/>
    <pageSetUpPr fitToPage="1"/>
  </sheetPr>
  <dimension ref="A1:G52"/>
  <sheetViews>
    <sheetView topLeftCell="A2" workbookViewId="0">
      <selection activeCell="C5" sqref="C5"/>
    </sheetView>
  </sheetViews>
  <sheetFormatPr defaultColWidth="8.81640625" defaultRowHeight="16"/>
  <cols>
    <col min="1" max="1" width="40" style="26" customWidth="1"/>
    <col min="2" max="3" width="22" style="26" customWidth="1"/>
    <col min="4" max="4" width="50.90625" style="26" customWidth="1"/>
    <col min="5" max="5" width="34.453125" style="26" customWidth="1"/>
    <col min="6" max="16384" width="8.81640625" style="26"/>
  </cols>
  <sheetData>
    <row r="1" spans="1:5" customFormat="1" ht="35" customHeight="1">
      <c r="A1" s="194" t="s">
        <v>587</v>
      </c>
      <c r="B1" s="194"/>
      <c r="C1" s="194"/>
      <c r="D1" s="194"/>
      <c r="E1" s="194"/>
    </row>
    <row r="2" spans="1:5" s="28" customFormat="1" ht="27.65" customHeight="1">
      <c r="A2"/>
      <c r="B2"/>
      <c r="C2"/>
      <c r="D2"/>
      <c r="E2"/>
    </row>
    <row r="3" spans="1:5" s="31" customFormat="1" ht="25.9" customHeight="1">
      <c r="A3" s="55" t="s">
        <v>588</v>
      </c>
      <c r="B3"/>
      <c r="C3"/>
      <c r="D3"/>
      <c r="E3"/>
    </row>
    <row r="4" spans="1:5" s="28" customFormat="1" ht="24" customHeight="1">
      <c r="A4" s="57" t="s">
        <v>67</v>
      </c>
      <c r="B4" s="63" t="s">
        <v>589</v>
      </c>
      <c r="C4" s="63" t="s">
        <v>590</v>
      </c>
      <c r="D4" s="57" t="s">
        <v>68</v>
      </c>
      <c r="E4"/>
    </row>
    <row r="5" spans="1:5" ht="18" customHeight="1">
      <c r="A5" s="54" t="s">
        <v>591</v>
      </c>
      <c r="B5" s="70">
        <v>1.5</v>
      </c>
      <c r="C5" s="65">
        <v>0</v>
      </c>
      <c r="D5" s="59" t="s">
        <v>592</v>
      </c>
      <c r="E5"/>
    </row>
    <row r="6" spans="1:5" ht="18" customHeight="1">
      <c r="A6" s="54" t="s">
        <v>593</v>
      </c>
      <c r="B6" s="78">
        <v>8000</v>
      </c>
      <c r="C6"/>
      <c r="D6" s="59" t="s">
        <v>594</v>
      </c>
      <c r="E6"/>
    </row>
    <row r="7" spans="1:5" ht="18" customHeight="1">
      <c r="A7" s="54" t="s">
        <v>595</v>
      </c>
      <c r="B7" s="78">
        <v>2000</v>
      </c>
      <c r="C7"/>
      <c r="D7" s="59" t="s">
        <v>596</v>
      </c>
      <c r="E7"/>
    </row>
    <row r="8" spans="1:5" ht="18" customHeight="1">
      <c r="A8" s="54" t="s">
        <v>597</v>
      </c>
      <c r="B8" s="79">
        <v>3.0000000000000001E-3</v>
      </c>
      <c r="C8"/>
      <c r="D8" s="59" t="s">
        <v>598</v>
      </c>
      <c r="E8"/>
    </row>
    <row r="9" spans="1:5" ht="18" customHeight="1">
      <c r="A9" s="54" t="s">
        <v>599</v>
      </c>
      <c r="B9" s="79">
        <v>1.4999999999999999E-2</v>
      </c>
      <c r="C9"/>
      <c r="D9" s="59" t="s">
        <v>598</v>
      </c>
      <c r="E9"/>
    </row>
    <row r="10" spans="1:5" ht="18" customHeight="1">
      <c r="A10" s="54" t="s">
        <v>69</v>
      </c>
      <c r="B10" s="80">
        <f>B5*B6/1000</f>
        <v>12</v>
      </c>
      <c r="C10"/>
      <c r="D10" s="59" t="s">
        <v>600</v>
      </c>
      <c r="E10"/>
    </row>
    <row r="11" spans="1:5" ht="18" customHeight="1">
      <c r="A11" s="54" t="s">
        <v>70</v>
      </c>
      <c r="B11" s="80">
        <f>B5*B7/1000</f>
        <v>3</v>
      </c>
      <c r="C11"/>
      <c r="D11" s="59" t="s">
        <v>601</v>
      </c>
      <c r="E11"/>
    </row>
    <row r="12" spans="1:5" s="31" customFormat="1" ht="24" customHeight="1">
      <c r="A12" s="56" t="s">
        <v>602</v>
      </c>
      <c r="B12" s="81">
        <f>B10*B8+B11*B9</f>
        <v>8.1000000000000003E-2</v>
      </c>
      <c r="C12"/>
      <c r="D12" s="59" t="s">
        <v>603</v>
      </c>
      <c r="E12"/>
    </row>
    <row r="13" spans="1:5" ht="18" customHeight="1">
      <c r="A13"/>
      <c r="B13"/>
      <c r="C13"/>
      <c r="D13"/>
      <c r="E13"/>
    </row>
    <row r="14" spans="1:5" s="28" customFormat="1" ht="24" customHeight="1">
      <c r="A14" s="55" t="s">
        <v>604</v>
      </c>
      <c r="B14"/>
      <c r="C14"/>
      <c r="D14"/>
      <c r="E14"/>
    </row>
    <row r="15" spans="1:5" ht="18" customHeight="1">
      <c r="A15" s="57" t="s">
        <v>67</v>
      </c>
      <c r="B15" s="63" t="s">
        <v>59</v>
      </c>
      <c r="C15" s="63" t="s">
        <v>605</v>
      </c>
      <c r="D15" s="60" t="s">
        <v>68</v>
      </c>
      <c r="E15"/>
    </row>
    <row r="16" spans="1:5" ht="18" customHeight="1">
      <c r="A16" s="54" t="s">
        <v>606</v>
      </c>
      <c r="B16" s="70">
        <v>3</v>
      </c>
      <c r="C16"/>
      <c r="D16" s="59" t="s">
        <v>607</v>
      </c>
      <c r="E16"/>
    </row>
    <row r="17" spans="1:4" ht="18" customHeight="1">
      <c r="A17" s="54" t="s">
        <v>608</v>
      </c>
      <c r="B17" s="78">
        <v>15000</v>
      </c>
      <c r="C17"/>
      <c r="D17" s="59" t="s">
        <v>609</v>
      </c>
    </row>
    <row r="18" spans="1:4" ht="18" customHeight="1">
      <c r="A18" s="54" t="s">
        <v>610</v>
      </c>
      <c r="B18" s="78">
        <v>3000</v>
      </c>
      <c r="C18"/>
      <c r="D18" s="59" t="s">
        <v>611</v>
      </c>
    </row>
    <row r="19" spans="1:4" ht="18" customHeight="1">
      <c r="A19" s="54" t="s">
        <v>612</v>
      </c>
      <c r="B19" s="70" t="s">
        <v>613</v>
      </c>
      <c r="C19"/>
      <c r="D19" s="59" t="s">
        <v>614</v>
      </c>
    </row>
    <row r="20" spans="1:4" ht="18" customHeight="1">
      <c r="A20" s="56" t="s">
        <v>615</v>
      </c>
      <c r="B20"/>
      <c r="C20" s="81">
        <f>B16*(B17/1000*0.003+B18/1000*0.015)</f>
        <v>0.27</v>
      </c>
      <c r="D20" s="59" t="s">
        <v>616</v>
      </c>
    </row>
    <row r="21" spans="1:4" ht="18" customHeight="1">
      <c r="A21"/>
      <c r="B21"/>
      <c r="C21"/>
      <c r="D21"/>
    </row>
    <row r="22" spans="1:4" s="31" customFormat="1" ht="24" customHeight="1">
      <c r="A22" s="55" t="s">
        <v>617</v>
      </c>
      <c r="B22"/>
      <c r="C22"/>
      <c r="D22"/>
    </row>
    <row r="23" spans="1:4" ht="18" customHeight="1">
      <c r="A23" s="57" t="s">
        <v>67</v>
      </c>
      <c r="B23" s="63" t="s">
        <v>59</v>
      </c>
      <c r="C23" s="63" t="s">
        <v>618</v>
      </c>
      <c r="D23" s="60" t="s">
        <v>68</v>
      </c>
    </row>
    <row r="24" spans="1:4" s="28" customFormat="1" ht="24" customHeight="1">
      <c r="A24" s="54" t="s">
        <v>619</v>
      </c>
      <c r="B24" s="70">
        <v>2</v>
      </c>
      <c r="C24"/>
      <c r="D24" s="59" t="s">
        <v>620</v>
      </c>
    </row>
    <row r="25" spans="1:4" ht="18" customHeight="1">
      <c r="A25" s="54" t="s">
        <v>621</v>
      </c>
      <c r="B25" s="70" t="s">
        <v>622</v>
      </c>
      <c r="C25"/>
      <c r="D25" s="59" t="s">
        <v>623</v>
      </c>
    </row>
    <row r="26" spans="1:4" ht="18" customHeight="1">
      <c r="A26" s="54" t="s">
        <v>612</v>
      </c>
      <c r="B26" s="70" t="s">
        <v>940</v>
      </c>
      <c r="C26"/>
      <c r="D26" s="59" t="s">
        <v>624</v>
      </c>
    </row>
    <row r="27" spans="1:4" ht="24" customHeight="1">
      <c r="A27" s="56" t="s">
        <v>625</v>
      </c>
      <c r="B27"/>
      <c r="C27" s="81">
        <f>B24*(2000/1000*$B$48+500/1000*$C$48)</f>
        <v>9.0000000000000011E-3</v>
      </c>
      <c r="D27" s="59" t="s">
        <v>626</v>
      </c>
    </row>
    <row r="28" spans="1:4" ht="18" customHeight="1">
      <c r="A28"/>
      <c r="B28"/>
      <c r="C28"/>
      <c r="D28"/>
    </row>
    <row r="29" spans="1:4" ht="18" customHeight="1">
      <c r="A29" s="55" t="s">
        <v>627</v>
      </c>
      <c r="B29"/>
      <c r="C29"/>
      <c r="D29"/>
    </row>
    <row r="30" spans="1:4" ht="18" customHeight="1">
      <c r="A30" s="57" t="s">
        <v>67</v>
      </c>
      <c r="B30" s="63" t="s">
        <v>589</v>
      </c>
      <c r="C30" s="63" t="s">
        <v>590</v>
      </c>
      <c r="D30" s="60" t="s">
        <v>68</v>
      </c>
    </row>
    <row r="31" spans="1:4">
      <c r="A31" s="54" t="s">
        <v>628</v>
      </c>
      <c r="B31" s="70">
        <v>2</v>
      </c>
      <c r="C31" s="70">
        <v>4</v>
      </c>
      <c r="D31"/>
    </row>
    <row r="32" spans="1:4">
      <c r="A32" s="54" t="s">
        <v>629</v>
      </c>
      <c r="B32" s="78">
        <v>3000</v>
      </c>
      <c r="C32" s="78">
        <v>3000</v>
      </c>
      <c r="D32"/>
    </row>
    <row r="33" spans="1:4" s="28" customFormat="1" ht="27.65" customHeight="1">
      <c r="A33" s="54" t="s">
        <v>630</v>
      </c>
      <c r="B33" s="78">
        <v>1500</v>
      </c>
      <c r="C33" s="78">
        <v>1500</v>
      </c>
      <c r="D33"/>
    </row>
    <row r="34" spans="1:4" s="28" customFormat="1" ht="27.65" customHeight="1">
      <c r="A34" s="54" t="s">
        <v>612</v>
      </c>
      <c r="B34" s="70" t="s">
        <v>940</v>
      </c>
      <c r="C34" s="70" t="s">
        <v>940</v>
      </c>
      <c r="D34" s="59" t="s">
        <v>631</v>
      </c>
    </row>
    <row r="35" spans="1:4" s="31" customFormat="1" ht="25.9" customHeight="1">
      <c r="A35" s="56" t="s">
        <v>632</v>
      </c>
      <c r="B35" s="82">
        <f>B31*(B32/1000*$B$48+B33/1000*$C$48)</f>
        <v>2.0999999999999998E-2</v>
      </c>
      <c r="C35"/>
      <c r="D35" s="59" t="s">
        <v>633</v>
      </c>
    </row>
    <row r="36" spans="1:4" ht="18" customHeight="1">
      <c r="A36" s="56" t="s">
        <v>634</v>
      </c>
      <c r="B36"/>
      <c r="C36" s="82">
        <f>C31*(C32/1000*$B$48+C33/1000*$C$48)</f>
        <v>4.1999999999999996E-2</v>
      </c>
      <c r="D36" s="59" t="s">
        <v>633</v>
      </c>
    </row>
    <row r="37" spans="1:4" ht="18" customHeight="1">
      <c r="A37"/>
      <c r="B37"/>
      <c r="C37"/>
      <c r="D37"/>
    </row>
    <row r="38" spans="1:4" ht="18" customHeight="1">
      <c r="A38" s="55" t="s">
        <v>635</v>
      </c>
      <c r="B38"/>
      <c r="C38"/>
      <c r="D38"/>
    </row>
    <row r="39" spans="1:4" ht="18" customHeight="1">
      <c r="A39" s="57" t="s">
        <v>636</v>
      </c>
      <c r="B39" s="63" t="s">
        <v>637</v>
      </c>
      <c r="C39" s="57" t="s">
        <v>638</v>
      </c>
      <c r="D39"/>
    </row>
    <row r="40" spans="1:4" s="31" customFormat="1" ht="24" customHeight="1">
      <c r="A40" s="56" t="s">
        <v>589</v>
      </c>
      <c r="B40" s="81">
        <f>B12+B35</f>
        <v>0.10200000000000001</v>
      </c>
      <c r="C40" s="59" t="s">
        <v>639</v>
      </c>
      <c r="D40"/>
    </row>
    <row r="41" spans="1:4">
      <c r="A41" s="84" t="s">
        <v>590</v>
      </c>
      <c r="B41" s="85">
        <f>C36</f>
        <v>4.1999999999999996E-2</v>
      </c>
      <c r="C41" s="86" t="s">
        <v>640</v>
      </c>
    </row>
    <row r="42" spans="1:4">
      <c r="A42" s="84" t="s">
        <v>641</v>
      </c>
      <c r="B42" s="85">
        <f>C20</f>
        <v>0.27</v>
      </c>
      <c r="C42" s="86" t="s">
        <v>642</v>
      </c>
    </row>
    <row r="43" spans="1:4">
      <c r="A43" s="84" t="s">
        <v>643</v>
      </c>
      <c r="B43" s="85">
        <f>C27</f>
        <v>9.0000000000000011E-3</v>
      </c>
      <c r="C43" s="86" t="s">
        <v>644</v>
      </c>
    </row>
    <row r="45" spans="1:4">
      <c r="A45" s="87" t="s">
        <v>645</v>
      </c>
    </row>
    <row r="46" spans="1:4">
      <c r="A46" s="88" t="s">
        <v>646</v>
      </c>
      <c r="B46" s="89" t="s">
        <v>647</v>
      </c>
      <c r="C46" s="89" t="s">
        <v>648</v>
      </c>
      <c r="D46" s="88" t="s">
        <v>649</v>
      </c>
    </row>
    <row r="47" spans="1:4">
      <c r="A47" s="83" t="s">
        <v>650</v>
      </c>
      <c r="B47" s="90">
        <v>3.0000000000000001E-3</v>
      </c>
      <c r="C47" s="90">
        <v>1.4999999999999999E-2</v>
      </c>
      <c r="D47" s="86" t="s">
        <v>651</v>
      </c>
    </row>
    <row r="48" spans="1:4">
      <c r="A48" s="83" t="s">
        <v>652</v>
      </c>
      <c r="B48" s="90">
        <v>1E-3</v>
      </c>
      <c r="C48" s="90">
        <v>5.0000000000000001E-3</v>
      </c>
      <c r="D48" s="86" t="s">
        <v>653</v>
      </c>
    </row>
    <row r="49" spans="1:7">
      <c r="A49" s="91" t="s">
        <v>654</v>
      </c>
      <c r="B49" s="86" t="s">
        <v>655</v>
      </c>
    </row>
    <row r="51" spans="1:7">
      <c r="A51" s="88" t="s">
        <v>656</v>
      </c>
      <c r="B51" s="89" t="s">
        <v>26</v>
      </c>
      <c r="C51" s="89" t="s">
        <v>27</v>
      </c>
      <c r="D51" s="89" t="s">
        <v>28</v>
      </c>
      <c r="E51" s="89" t="s">
        <v>29</v>
      </c>
      <c r="F51" s="89" t="s">
        <v>30</v>
      </c>
      <c r="G51" s="88" t="s">
        <v>657</v>
      </c>
    </row>
    <row r="52" spans="1:7">
      <c r="A52" s="83" t="s">
        <v>658</v>
      </c>
      <c r="B52" s="92">
        <v>1</v>
      </c>
      <c r="C52" s="92">
        <v>0.5</v>
      </c>
      <c r="D52" s="92">
        <v>0.25</v>
      </c>
      <c r="E52" s="92">
        <v>0.125</v>
      </c>
      <c r="F52" s="92">
        <v>6.25E-2</v>
      </c>
      <c r="G52" s="86" t="s">
        <v>941</v>
      </c>
    </row>
  </sheetData>
  <mergeCells count="1">
    <mergeCell ref="A1:E1"/>
  </mergeCells>
  <pageMargins left="0.75" right="0.75" top="1" bottom="1" header="0.5" footer="0.5"/>
  <pageSetup scale="65" fitToHeight="2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1E6B-FCC7-4AA2-A40A-0282CD7824A0}">
  <sheetPr codeName="Sheet5">
    <tabColor rgb="FF92D050"/>
    <pageSetUpPr fitToPage="1"/>
  </sheetPr>
  <dimension ref="A1:F33"/>
  <sheetViews>
    <sheetView workbookViewId="0">
      <selection activeCell="C5" sqref="C5"/>
    </sheetView>
  </sheetViews>
  <sheetFormatPr defaultColWidth="8.81640625" defaultRowHeight="15.5"/>
  <cols>
    <col min="1" max="1" width="40" style="8" customWidth="1"/>
    <col min="2" max="6" width="22.1796875" style="8" customWidth="1"/>
    <col min="7" max="16384" width="8.81640625" style="8"/>
  </cols>
  <sheetData>
    <row r="1" spans="1:6" customFormat="1" ht="35" customHeight="1">
      <c r="A1" s="197" t="s">
        <v>805</v>
      </c>
      <c r="B1" s="197"/>
      <c r="C1" s="197"/>
      <c r="D1" s="197"/>
      <c r="E1" s="197"/>
      <c r="F1" s="197"/>
    </row>
    <row r="2" spans="1:6">
      <c r="A2"/>
      <c r="B2" s="123" t="s">
        <v>370</v>
      </c>
      <c r="C2" s="123" t="s">
        <v>371</v>
      </c>
      <c r="D2" s="123" t="s">
        <v>372</v>
      </c>
      <c r="E2" s="123" t="s">
        <v>373</v>
      </c>
      <c r="F2" s="123" t="s">
        <v>374</v>
      </c>
    </row>
    <row r="3" spans="1:6" s="10" customFormat="1" ht="25.15" customHeight="1">
      <c r="A3" s="111" t="s">
        <v>806</v>
      </c>
      <c r="B3"/>
      <c r="C3"/>
      <c r="D3"/>
      <c r="E3"/>
      <c r="F3"/>
    </row>
    <row r="4" spans="1:6" ht="18" customHeight="1">
      <c r="A4" t="s">
        <v>661</v>
      </c>
      <c r="B4" s="5">
        <f>Assumptions!B40</f>
        <v>500</v>
      </c>
      <c r="C4" s="5">
        <f>Assumptions!C40</f>
        <v>2000</v>
      </c>
      <c r="D4" s="5">
        <f>Assumptions!D40</f>
        <v>8000</v>
      </c>
      <c r="E4" s="5">
        <f>Assumptions!E40</f>
        <v>20000</v>
      </c>
      <c r="F4" s="5">
        <f>Assumptions!F40</f>
        <v>50000</v>
      </c>
    </row>
    <row r="5" spans="1:6" ht="18" customHeight="1">
      <c r="A5" t="s">
        <v>807</v>
      </c>
      <c r="B5" s="5">
        <f>'Cost of Revenue'!B5</f>
        <v>75</v>
      </c>
      <c r="C5" s="5">
        <f>'Cost of Revenue'!C5</f>
        <v>400</v>
      </c>
      <c r="D5" s="5">
        <f>'Cost of Revenue'!D5</f>
        <v>2000</v>
      </c>
      <c r="E5" s="5">
        <f>'Cost of Revenue'!E5</f>
        <v>6000</v>
      </c>
      <c r="F5" s="5">
        <f>'Cost of Revenue'!F5</f>
        <v>17500</v>
      </c>
    </row>
    <row r="6" spans="1:6" ht="18" customHeight="1">
      <c r="A6" t="s">
        <v>808</v>
      </c>
      <c r="B6" s="5">
        <f>Assumptions!B52</f>
        <v>80</v>
      </c>
      <c r="C6" s="5">
        <f>Assumptions!C52</f>
        <v>200</v>
      </c>
      <c r="D6" s="5">
        <f>Assumptions!D52</f>
        <v>500</v>
      </c>
      <c r="E6" s="5">
        <f>Assumptions!E52</f>
        <v>1000</v>
      </c>
      <c r="F6" s="5">
        <f>Assumptions!F52</f>
        <v>2000</v>
      </c>
    </row>
    <row r="7" spans="1:6" ht="18" customHeight="1">
      <c r="A7" t="s">
        <v>809</v>
      </c>
      <c r="B7" s="5">
        <f>Assumptions!B53</f>
        <v>30</v>
      </c>
      <c r="C7" s="5">
        <f>Assumptions!C53</f>
        <v>80</v>
      </c>
      <c r="D7" s="5">
        <f>Assumptions!D53</f>
        <v>200</v>
      </c>
      <c r="E7" s="5">
        <f>Assumptions!E53</f>
        <v>400</v>
      </c>
      <c r="F7" s="5">
        <f>Assumptions!F53</f>
        <v>800</v>
      </c>
    </row>
    <row r="8" spans="1:6" ht="18" customHeight="1">
      <c r="A8" t="s">
        <v>810</v>
      </c>
      <c r="B8" s="5">
        <f>Assumptions!B54</f>
        <v>5</v>
      </c>
      <c r="C8" s="5">
        <f>Assumptions!C54</f>
        <v>15</v>
      </c>
      <c r="D8" s="5">
        <f>Assumptions!D54</f>
        <v>40</v>
      </c>
      <c r="E8" s="5">
        <f>Assumptions!E54</f>
        <v>80</v>
      </c>
      <c r="F8" s="5">
        <f>Assumptions!F54</f>
        <v>160</v>
      </c>
    </row>
    <row r="9" spans="1:6" ht="18" customHeight="1">
      <c r="A9" s="1" t="s">
        <v>811</v>
      </c>
      <c r="B9" s="5">
        <f>B6+B7+B8</f>
        <v>115</v>
      </c>
      <c r="C9" s="5">
        <f>C6+C7+C8</f>
        <v>295</v>
      </c>
      <c r="D9" s="5">
        <f>D6+D7+D8</f>
        <v>740</v>
      </c>
      <c r="E9" s="5">
        <f>E6+E7+E8</f>
        <v>1480</v>
      </c>
      <c r="F9" s="5">
        <f>F6+F7+F8</f>
        <v>2960</v>
      </c>
    </row>
    <row r="10" spans="1:6" ht="18" customHeight="1">
      <c r="A10" s="1" t="s">
        <v>812</v>
      </c>
      <c r="B10" s="5">
        <f>Assumptions!B69</f>
        <v>140</v>
      </c>
      <c r="C10" s="5">
        <f>Assumptions!C69</f>
        <v>630</v>
      </c>
      <c r="D10" s="5">
        <f>Assumptions!D69</f>
        <v>2500</v>
      </c>
      <c r="E10" s="5">
        <f>Assumptions!E69</f>
        <v>6300</v>
      </c>
      <c r="F10" s="5">
        <f>Assumptions!F69</f>
        <v>16000</v>
      </c>
    </row>
    <row r="11" spans="1:6" ht="18" customHeight="1">
      <c r="A11" t="s">
        <v>813</v>
      </c>
      <c r="B11" s="124">
        <f>IF(B9=0,0,B5/B9)</f>
        <v>0.65217391304347827</v>
      </c>
      <c r="C11" s="124">
        <f>IF(C9=0,0,C5/C9)</f>
        <v>1.3559322033898304</v>
      </c>
      <c r="D11" s="124">
        <f>IF(D9=0,0,D5/D9)</f>
        <v>2.7027027027027026</v>
      </c>
      <c r="E11" s="124">
        <f>IF(E9=0,0,E5/E9)</f>
        <v>4.0540540540540544</v>
      </c>
      <c r="F11" s="124">
        <f>IF(F9=0,0,F5/F9)</f>
        <v>5.9121621621621623</v>
      </c>
    </row>
    <row r="12" spans="1:6" ht="18" customHeight="1">
      <c r="A12"/>
      <c r="B12"/>
      <c r="C12"/>
      <c r="D12"/>
      <c r="E12"/>
      <c r="F12"/>
    </row>
    <row r="13" spans="1:6" ht="18" customHeight="1">
      <c r="A13" s="111" t="s">
        <v>363</v>
      </c>
      <c r="B13"/>
      <c r="C13"/>
      <c r="D13"/>
      <c r="E13"/>
      <c r="F13"/>
    </row>
    <row r="14" spans="1:6" ht="18" customHeight="1">
      <c r="A14" t="s">
        <v>762</v>
      </c>
      <c r="B14" s="120">
        <f>'Income Statement'!B7</f>
        <v>57500</v>
      </c>
      <c r="C14" s="120">
        <f>'Income Statement'!C7</f>
        <v>277500</v>
      </c>
      <c r="D14" s="120">
        <f>'Income Statement'!D7</f>
        <v>1100000</v>
      </c>
      <c r="E14" s="120">
        <f>'Income Statement'!E7</f>
        <v>2775000</v>
      </c>
      <c r="F14" s="120">
        <f>'Income Statement'!F7</f>
        <v>7197500</v>
      </c>
    </row>
    <row r="15" spans="1:6">
      <c r="A15" t="s">
        <v>814</v>
      </c>
      <c r="B15" s="120">
        <f>'Income Statement'!B8</f>
        <v>310810</v>
      </c>
      <c r="C15" s="120">
        <f>'Income Statement'!C8</f>
        <v>828940</v>
      </c>
      <c r="D15" s="120">
        <f>'Income Statement'!D8</f>
        <v>2102320</v>
      </c>
      <c r="E15" s="120">
        <f>'Income Statement'!E8</f>
        <v>4204640</v>
      </c>
      <c r="F15" s="120">
        <f>'Income Statement'!F8</f>
        <v>8409280</v>
      </c>
    </row>
    <row r="16" spans="1:6" ht="30" customHeight="1">
      <c r="A16" t="s">
        <v>815</v>
      </c>
      <c r="B16" s="120">
        <f>'Income Statement'!B9</f>
        <v>23943</v>
      </c>
      <c r="C16" s="120">
        <f>'Income Statement'!C9</f>
        <v>61419</v>
      </c>
      <c r="D16" s="120">
        <f>'Income Statement'!D9</f>
        <v>154068</v>
      </c>
      <c r="E16" s="120">
        <f>'Income Statement'!E9</f>
        <v>308136</v>
      </c>
      <c r="F16" s="120">
        <f>'Income Statement'!F9</f>
        <v>616272</v>
      </c>
    </row>
    <row r="17" spans="1:6" s="10" customFormat="1" ht="25.15" customHeight="1">
      <c r="A17" s="1" t="s">
        <v>0</v>
      </c>
      <c r="B17" s="120">
        <f>'Income Statement'!B10</f>
        <v>392253</v>
      </c>
      <c r="C17" s="120">
        <f>'Income Statement'!C10</f>
        <v>1167859</v>
      </c>
      <c r="D17" s="120">
        <f>'Income Statement'!D10</f>
        <v>3356388</v>
      </c>
      <c r="E17" s="120">
        <f>'Income Statement'!E10</f>
        <v>7287776</v>
      </c>
      <c r="F17" s="120">
        <f>'Income Statement'!F10</f>
        <v>16223052</v>
      </c>
    </row>
    <row r="18" spans="1:6" ht="18" customHeight="1">
      <c r="A18" t="s">
        <v>364</v>
      </c>
      <c r="B18" t="s">
        <v>64</v>
      </c>
      <c r="C18" s="119">
        <f>(C17-B17)/B17</f>
        <v>1.9773105623156484</v>
      </c>
      <c r="D18" s="119">
        <f>(D17-C17)/C17</f>
        <v>1.8739668059243453</v>
      </c>
      <c r="E18" s="119">
        <f>(E17-D17)/D17</f>
        <v>1.1713151161307931</v>
      </c>
      <c r="F18" s="119">
        <f>(F17-E17)/E17</f>
        <v>1.2260634794483256</v>
      </c>
    </row>
    <row r="19" spans="1:6" ht="18" customHeight="1">
      <c r="A19" t="s">
        <v>1</v>
      </c>
      <c r="B19" s="120">
        <f>('Income Statement'!B8+'Income Statement'!B9)/12</f>
        <v>27896.083333333332</v>
      </c>
      <c r="C19" s="120">
        <f>('Income Statement'!C8+'Income Statement'!C9)/12</f>
        <v>74196.583333333328</v>
      </c>
      <c r="D19" s="120">
        <f>('Income Statement'!D8+'Income Statement'!D9)/12</f>
        <v>188032.33333333334</v>
      </c>
      <c r="E19" s="120">
        <f>('Income Statement'!E8+'Income Statement'!E9)/12</f>
        <v>376064.66666666669</v>
      </c>
      <c r="F19" s="120">
        <f>('Income Statement'!F8+'Income Statement'!F9)/12</f>
        <v>752129.33333333337</v>
      </c>
    </row>
    <row r="20" spans="1:6" ht="18" customHeight="1">
      <c r="A20" t="s">
        <v>2</v>
      </c>
      <c r="B20" s="120">
        <f>B19*12</f>
        <v>334753</v>
      </c>
      <c r="C20" s="120">
        <f>C19*12</f>
        <v>890359</v>
      </c>
      <c r="D20" s="120">
        <f>D19*12</f>
        <v>2256388</v>
      </c>
      <c r="E20" s="120">
        <f>E19*12</f>
        <v>4512776</v>
      </c>
      <c r="F20" s="120">
        <f>F19*12</f>
        <v>9025552</v>
      </c>
    </row>
    <row r="21" spans="1:6" ht="18" customHeight="1">
      <c r="A21" t="s">
        <v>816</v>
      </c>
      <c r="B21" s="120">
        <f>IF(B9=0,0,B17/B9)</f>
        <v>3410.8956521739128</v>
      </c>
      <c r="C21" s="120">
        <f>IF(C9=0,0,C17/C9)</f>
        <v>3958.84406779661</v>
      </c>
      <c r="D21" s="120">
        <f>IF(D9=0,0,D17/D9)</f>
        <v>4535.6594594594599</v>
      </c>
      <c r="E21" s="120">
        <f>IF(E9=0,0,E17/E9)</f>
        <v>4924.1729729729732</v>
      </c>
      <c r="F21" s="120">
        <f>IF(F9=0,0,F17/F9)</f>
        <v>5480.7608108108107</v>
      </c>
    </row>
    <row r="22" spans="1:6" ht="18" customHeight="1">
      <c r="A22" t="s">
        <v>817</v>
      </c>
      <c r="B22" s="120">
        <f>IF(B10=0,0,B17/B10)</f>
        <v>2801.8071428571429</v>
      </c>
      <c r="C22" s="120">
        <f>IF(C10=0,0,C17/C10)</f>
        <v>1853.7444444444445</v>
      </c>
      <c r="D22" s="120">
        <f>IF(D10=0,0,D17/D10)</f>
        <v>1342.5552</v>
      </c>
      <c r="E22" s="120">
        <f>IF(E10=0,0,E17/E10)</f>
        <v>1156.7898412698412</v>
      </c>
      <c r="F22" s="120">
        <f>IF(F10=0,0,F17/F10)</f>
        <v>1013.94075</v>
      </c>
    </row>
    <row r="23" spans="1:6" ht="18" customHeight="1">
      <c r="A23"/>
      <c r="B23"/>
      <c r="C23"/>
      <c r="D23"/>
      <c r="E23"/>
      <c r="F23"/>
    </row>
    <row r="24" spans="1:6" ht="18" customHeight="1">
      <c r="A24" s="111" t="s">
        <v>818</v>
      </c>
      <c r="B24"/>
      <c r="C24"/>
      <c r="D24"/>
      <c r="E24"/>
      <c r="F24"/>
    </row>
    <row r="25" spans="1:6" ht="18" customHeight="1">
      <c r="A25" t="s">
        <v>423</v>
      </c>
      <c r="B25" s="5">
        <f>Assumptions!B65</f>
        <v>50</v>
      </c>
      <c r="C25" s="5">
        <f>Assumptions!C65</f>
        <v>200</v>
      </c>
      <c r="D25" s="5">
        <f>Assumptions!D65</f>
        <v>800</v>
      </c>
      <c r="E25" s="5">
        <f>Assumptions!E65</f>
        <v>2000</v>
      </c>
      <c r="F25" s="5">
        <f>Assumptions!F65</f>
        <v>5000</v>
      </c>
    </row>
    <row r="26" spans="1:6" ht="18" customHeight="1">
      <c r="A26" t="s">
        <v>425</v>
      </c>
      <c r="B26" s="5">
        <f>Assumptions!B66</f>
        <v>30</v>
      </c>
      <c r="C26" s="5">
        <f>Assumptions!C66</f>
        <v>150</v>
      </c>
      <c r="D26" s="5">
        <f>Assumptions!D66</f>
        <v>600</v>
      </c>
      <c r="E26" s="5">
        <f>Assumptions!E66</f>
        <v>1500</v>
      </c>
      <c r="F26" s="5">
        <f>Assumptions!F66</f>
        <v>4000</v>
      </c>
    </row>
    <row r="27" spans="1:6" ht="18" customHeight="1">
      <c r="A27" t="s">
        <v>427</v>
      </c>
      <c r="B27" s="5">
        <f>Assumptions!B67</f>
        <v>40</v>
      </c>
      <c r="C27" s="5">
        <f>Assumptions!C67</f>
        <v>180</v>
      </c>
      <c r="D27" s="5">
        <f>Assumptions!D67</f>
        <v>700</v>
      </c>
      <c r="E27" s="5">
        <f>Assumptions!E67</f>
        <v>1800</v>
      </c>
      <c r="F27" s="5">
        <f>Assumptions!F67</f>
        <v>4500</v>
      </c>
    </row>
    <row r="28" spans="1:6" ht="18" customHeight="1">
      <c r="A28" t="s">
        <v>819</v>
      </c>
      <c r="B28" s="5">
        <f>Assumptions!B68</f>
        <v>20</v>
      </c>
      <c r="C28" s="5">
        <f>Assumptions!C68</f>
        <v>100</v>
      </c>
      <c r="D28" s="5">
        <f>Assumptions!D68</f>
        <v>400</v>
      </c>
      <c r="E28" s="5">
        <f>Assumptions!E68</f>
        <v>1000</v>
      </c>
      <c r="F28" s="5">
        <f>Assumptions!F68</f>
        <v>2500</v>
      </c>
    </row>
    <row r="29" spans="1:6" ht="18" customHeight="1">
      <c r="A29" s="1" t="s">
        <v>491</v>
      </c>
      <c r="B29" s="5">
        <f>Assumptions!B69</f>
        <v>140</v>
      </c>
      <c r="C29" s="5">
        <f>Assumptions!C69</f>
        <v>630</v>
      </c>
      <c r="D29" s="5">
        <f>Assumptions!D69</f>
        <v>2500</v>
      </c>
      <c r="E29" s="5">
        <f>Assumptions!E69</f>
        <v>6300</v>
      </c>
      <c r="F29" s="5">
        <f>Assumptions!F69</f>
        <v>16000</v>
      </c>
    </row>
    <row r="30" spans="1:6">
      <c r="A30" t="s">
        <v>820</v>
      </c>
      <c r="B30" s="120">
        <f>Assumptions!B66*Assumptions!$B$13*Assumptions!$B$71+Assumptions!B67*Assumptions!$B$14+Assumptions!B68*Assumptions!$B$15+Assumptions!B66*Assumptions!$B$16*Assumptions!$B$71</f>
        <v>714000</v>
      </c>
      <c r="C30" s="120">
        <f>Assumptions!C66*Assumptions!$B$13*Assumptions!$B$71+Assumptions!C67*Assumptions!$B$14+Assumptions!C68*Assumptions!$B$15+Assumptions!C66*Assumptions!$B$16*Assumptions!$B$71</f>
        <v>3470000</v>
      </c>
      <c r="D30" s="120">
        <f>Assumptions!D66*Assumptions!$B$13*Assumptions!$B$71+Assumptions!D67*Assumptions!$B$14+Assumptions!D68*Assumptions!$B$15+Assumptions!D66*Assumptions!$B$16*Assumptions!$B$71</f>
        <v>13780000</v>
      </c>
      <c r="E30" s="120">
        <f>Assumptions!E66*Assumptions!$B$13*Assumptions!$B$71+Assumptions!E67*Assumptions!$B$14+Assumptions!E68*Assumptions!$B$15+Assumptions!E66*Assumptions!$B$16*Assumptions!$B$71</f>
        <v>34700000</v>
      </c>
      <c r="F30" s="120">
        <f>Assumptions!F66*Assumptions!$B$13*Assumptions!$B$71+Assumptions!F67*Assumptions!$B$14+Assumptions!F68*Assumptions!$B$15+Assumptions!F66*Assumptions!$B$16*Assumptions!$B$71</f>
        <v>90450000</v>
      </c>
    </row>
    <row r="31" spans="1:6">
      <c r="A31" t="s">
        <v>821</v>
      </c>
      <c r="B31" s="119">
        <f>IF(B30=0,0,B14/B30)</f>
        <v>8.0532212885154067E-2</v>
      </c>
      <c r="C31" s="119">
        <f>IF(C30=0,0,C14/C30)</f>
        <v>7.9971181556195967E-2</v>
      </c>
      <c r="D31" s="119">
        <f>IF(D30=0,0,D14/D30)</f>
        <v>7.982583454281568E-2</v>
      </c>
      <c r="E31" s="119">
        <f>IF(E30=0,0,E14/E30)</f>
        <v>7.9971181556195967E-2</v>
      </c>
      <c r="F31" s="119">
        <f>IF(F30=0,0,F14/F30)</f>
        <v>7.9574350469872865E-2</v>
      </c>
    </row>
    <row r="33" spans="1:6">
      <c r="A33" t="s">
        <v>822</v>
      </c>
      <c r="B33" s="119">
        <f>Assumptions!B41</f>
        <v>0.15</v>
      </c>
      <c r="C33" s="119">
        <f>Assumptions!C41</f>
        <v>0.2</v>
      </c>
      <c r="D33" s="119">
        <f>Assumptions!D41</f>
        <v>0.25</v>
      </c>
      <c r="E33" s="119">
        <f>Assumptions!E41</f>
        <v>0.3</v>
      </c>
      <c r="F33" s="119">
        <f>Assumptions!F41</f>
        <v>0.35</v>
      </c>
    </row>
  </sheetData>
  <mergeCells count="1">
    <mergeCell ref="A1:F1"/>
  </mergeCells>
  <pageMargins left="0.7" right="0.7" top="0.75" bottom="0.75" header="0.3" footer="0.3"/>
  <pageSetup scale="5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71ED-4E9C-4E8B-8044-8A454F39223F}">
  <sheetPr>
    <tabColor rgb="FF92D050"/>
  </sheetPr>
  <dimension ref="A1:F15"/>
  <sheetViews>
    <sheetView workbookViewId="0">
      <selection activeCell="C5" sqref="C5"/>
    </sheetView>
  </sheetViews>
  <sheetFormatPr defaultRowHeight="14.5"/>
  <cols>
    <col min="1" max="1" width="40" customWidth="1"/>
    <col min="2" max="2" width="14.26953125" bestFit="1" customWidth="1"/>
    <col min="3" max="5" width="16" bestFit="1" customWidth="1"/>
    <col min="6" max="6" width="16.26953125" bestFit="1" customWidth="1"/>
  </cols>
  <sheetData>
    <row r="1" spans="1:6" ht="35" customHeight="1">
      <c r="A1" s="197" t="s">
        <v>803</v>
      </c>
      <c r="B1" s="197"/>
      <c r="C1" s="197"/>
      <c r="D1" s="197"/>
      <c r="E1" s="197"/>
      <c r="F1" s="197"/>
    </row>
    <row r="4" spans="1:6">
      <c r="B4" s="115">
        <v>2026</v>
      </c>
      <c r="C4" s="115">
        <v>2027</v>
      </c>
      <c r="D4" s="115">
        <v>2028</v>
      </c>
      <c r="E4" s="115">
        <v>2029</v>
      </c>
      <c r="F4" s="115">
        <v>2030</v>
      </c>
    </row>
    <row r="6" spans="1:6">
      <c r="A6" t="s">
        <v>74</v>
      </c>
      <c r="B6" s="120">
        <v>0</v>
      </c>
      <c r="C6" s="120">
        <f>B11</f>
        <v>-373715.3249999999</v>
      </c>
      <c r="D6" s="120">
        <f>C11</f>
        <v>-1558313.1700000002</v>
      </c>
      <c r="E6" s="120">
        <f>D11</f>
        <v>-3123961.128000001</v>
      </c>
      <c r="F6" s="120">
        <f>E11</f>
        <v>-4647375.5726000005</v>
      </c>
    </row>
    <row r="8" spans="1:6">
      <c r="A8" t="s">
        <v>75</v>
      </c>
      <c r="B8" s="120">
        <f>'Income Statement'!B37</f>
        <v>-373715.3249999999</v>
      </c>
      <c r="C8" s="120">
        <f>'Income Statement'!C37</f>
        <v>-1184597.8450000002</v>
      </c>
      <c r="D8" s="120">
        <f>'Income Statement'!D37</f>
        <v>-1565647.9580000008</v>
      </c>
      <c r="E8" s="120">
        <f>'Income Statement'!E37</f>
        <v>-1523414.4445999996</v>
      </c>
      <c r="F8" s="120">
        <f>'Income Statement'!F37</f>
        <v>987341.74976623838</v>
      </c>
    </row>
    <row r="9" spans="1:6">
      <c r="A9" t="s">
        <v>76</v>
      </c>
      <c r="B9" s="120">
        <v>0</v>
      </c>
      <c r="C9" s="120">
        <v>0</v>
      </c>
      <c r="D9" s="120">
        <v>0</v>
      </c>
      <c r="E9" s="120">
        <v>0</v>
      </c>
      <c r="F9" s="120">
        <v>0</v>
      </c>
    </row>
    <row r="11" spans="1:6">
      <c r="A11" s="1" t="s">
        <v>77</v>
      </c>
      <c r="B11" s="121">
        <f>B6+B8-B9</f>
        <v>-373715.3249999999</v>
      </c>
      <c r="C11" s="121">
        <f>C6+C8-C9</f>
        <v>-1558313.1700000002</v>
      </c>
      <c r="D11" s="121">
        <f>D6+D8-D9</f>
        <v>-3123961.128000001</v>
      </c>
      <c r="E11" s="121">
        <f>E6+E8-E9</f>
        <v>-4647375.5726000005</v>
      </c>
      <c r="F11" s="121">
        <f>F6+F8-F9</f>
        <v>-3660033.822833762</v>
      </c>
    </row>
    <row r="13" spans="1:6">
      <c r="A13" s="111" t="s">
        <v>78</v>
      </c>
    </row>
    <row r="14" spans="1:6">
      <c r="A14" t="s">
        <v>804</v>
      </c>
      <c r="B14" s="120">
        <f>'Balance Sheet'!B38</f>
        <v>-373715.3249999999</v>
      </c>
      <c r="C14" s="120">
        <f>'Balance Sheet'!C38</f>
        <v>-1558313.1700000002</v>
      </c>
      <c r="D14" s="120">
        <f>'Balance Sheet'!D38</f>
        <v>-3123961.128000001</v>
      </c>
      <c r="E14" s="120">
        <f>'Balance Sheet'!E38</f>
        <v>-4647375.5726000005</v>
      </c>
      <c r="F14" s="120">
        <f>'Balance Sheet'!F38</f>
        <v>-3660033.822833762</v>
      </c>
    </row>
    <row r="15" spans="1:6">
      <c r="A15" s="1" t="s">
        <v>79</v>
      </c>
      <c r="B15" s="121">
        <f>B11-B14</f>
        <v>0</v>
      </c>
      <c r="C15" s="121">
        <f>C11-C14</f>
        <v>0</v>
      </c>
      <c r="D15" s="121">
        <f>D11-D14</f>
        <v>0</v>
      </c>
      <c r="E15" s="121">
        <f>E11-E14</f>
        <v>0</v>
      </c>
      <c r="F15" s="121">
        <f>F11-F14</f>
        <v>0</v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D1B7-43A3-4FBB-93E5-7C712476AF4F}">
  <sheetPr>
    <tabColor rgb="FF92D050"/>
  </sheetPr>
  <dimension ref="A1:F29"/>
  <sheetViews>
    <sheetView workbookViewId="0">
      <selection activeCell="C5" sqref="C5"/>
    </sheetView>
  </sheetViews>
  <sheetFormatPr defaultRowHeight="14.5"/>
  <cols>
    <col min="1" max="1" width="36.36328125" customWidth="1"/>
    <col min="2" max="6" width="26.54296875" customWidth="1"/>
    <col min="7" max="7" width="16" customWidth="1"/>
    <col min="8" max="8" width="6" customWidth="1"/>
    <col min="13" max="13" width="30.1796875" customWidth="1"/>
    <col min="14" max="18" width="12.81640625" customWidth="1"/>
  </cols>
  <sheetData>
    <row r="1" spans="1:6" ht="35" customHeight="1">
      <c r="A1" s="197" t="s">
        <v>823</v>
      </c>
      <c r="B1" s="197"/>
      <c r="C1" s="197"/>
      <c r="D1" s="197"/>
      <c r="E1" s="197"/>
      <c r="F1" s="197"/>
    </row>
    <row r="2" spans="1:6" s="13" customFormat="1" ht="15.65" customHeight="1">
      <c r="A2"/>
      <c r="B2" s="115">
        <v>2026</v>
      </c>
      <c r="C2" s="115">
        <v>2027</v>
      </c>
      <c r="D2" s="115">
        <v>2028</v>
      </c>
      <c r="E2" s="115">
        <v>2029</v>
      </c>
      <c r="F2" s="115">
        <v>2030</v>
      </c>
    </row>
    <row r="3" spans="1:6" s="13" customFormat="1" ht="18" customHeight="1">
      <c r="A3" s="111" t="s">
        <v>824</v>
      </c>
      <c r="B3"/>
      <c r="C3"/>
      <c r="D3"/>
      <c r="E3"/>
      <c r="F3"/>
    </row>
    <row r="4" spans="1:6" s="13" customFormat="1" ht="18" customHeight="1">
      <c r="A4" t="s">
        <v>811</v>
      </c>
      <c r="B4" s="5">
        <f>'Yearly Summary'!B9</f>
        <v>115</v>
      </c>
      <c r="C4" s="5">
        <f>'Yearly Summary'!C9</f>
        <v>295</v>
      </c>
      <c r="D4" s="5">
        <f>'Yearly Summary'!D9</f>
        <v>740</v>
      </c>
      <c r="E4" s="5">
        <f>'Yearly Summary'!E9</f>
        <v>1480</v>
      </c>
      <c r="F4" s="5">
        <f>'Yearly Summary'!F9</f>
        <v>2960</v>
      </c>
    </row>
    <row r="5" spans="1:6" s="18" customFormat="1" ht="24" customHeight="1">
      <c r="A5" t="s">
        <v>825</v>
      </c>
      <c r="B5" s="120">
        <f>IF(B4=0,0,'Income Statement'!B10/B4)</f>
        <v>3410.8956521739128</v>
      </c>
      <c r="C5" s="120">
        <f>IF(C4=0,0,'Income Statement'!C10/C4)</f>
        <v>3958.84406779661</v>
      </c>
      <c r="D5" s="120">
        <f>IF(D4=0,0,'Income Statement'!D10/D4)</f>
        <v>4535.6594594594599</v>
      </c>
      <c r="E5" s="120">
        <f>IF(E4=0,0,'Income Statement'!E10/E4)</f>
        <v>4924.1729729729732</v>
      </c>
      <c r="F5" s="120">
        <f>IF(F4=0,0,'Income Statement'!F10/F4)</f>
        <v>5480.7608108108107</v>
      </c>
    </row>
    <row r="6" spans="1:6" s="18" customFormat="1" ht="19.899999999999999" customHeight="1">
      <c r="A6" t="s">
        <v>826</v>
      </c>
      <c r="B6" s="120">
        <f>B5/12</f>
        <v>284.24130434782609</v>
      </c>
      <c r="C6" s="120">
        <f>C5/12</f>
        <v>329.90367231638419</v>
      </c>
      <c r="D6" s="120">
        <f>D5/12</f>
        <v>377.97162162162164</v>
      </c>
      <c r="E6" s="120">
        <f>E5/12</f>
        <v>410.34774774774775</v>
      </c>
      <c r="F6" s="120">
        <f>F5/12</f>
        <v>456.73006756756757</v>
      </c>
    </row>
    <row r="7" spans="1:6" s="18" customFormat="1" ht="19.899999999999999" customHeight="1">
      <c r="A7" t="s">
        <v>827</v>
      </c>
      <c r="B7" s="120">
        <f>IF(B4=0,0,(Assumptions!B52*Assumptions!$B$48+Assumptions!B53*Assumptions!$B$49+Assumptions!B54*Assumptions!$B$50)/B4)</f>
        <v>1078.2608695652175</v>
      </c>
      <c r="C7" s="120">
        <f>IF(C4=0,0,(Assumptions!C52*Assumptions!$B$48+Assumptions!C53*Assumptions!$B$49+Assumptions!C54*Assumptions!$B$50)/C4)</f>
        <v>1101.6949152542372</v>
      </c>
      <c r="D7" s="120">
        <f>IF(D4=0,0,(Assumptions!D52*Assumptions!$B$48+Assumptions!D53*Assumptions!$B$49+Assumptions!D54*Assumptions!$B$50)/D4)</f>
        <v>1108.1081081081081</v>
      </c>
      <c r="E7" s="120">
        <f>IF(E4=0,0,(Assumptions!E52*Assumptions!$B$48+Assumptions!E53*Assumptions!$B$49+Assumptions!E54*Assumptions!$B$50)/E4)</f>
        <v>1108.1081081081081</v>
      </c>
      <c r="F7" s="120">
        <f>IF(F4=0,0,(Assumptions!F52*Assumptions!$B$48+Assumptions!F53*Assumptions!$B$49+Assumptions!F54*Assumptions!$B$50)/F4)</f>
        <v>1108.1081081081081</v>
      </c>
    </row>
    <row r="8" spans="1:6" s="18" customFormat="1" ht="19.899999999999999" customHeight="1">
      <c r="A8" t="s">
        <v>828</v>
      </c>
      <c r="B8" s="119">
        <f>IF(B4=0,0,(Assumptions!B52*Assumptions!$C$59+Assumptions!B53*Assumptions!$C$60+Assumptions!B54*Assumptions!$C$61)/B4)</f>
        <v>0.2280700804266933</v>
      </c>
      <c r="C8" s="119">
        <f>IF(C4=0,0,(Assumptions!C52*Assumptions!$C$59+Assumptions!C53*Assumptions!$C$60+Assumptions!C54*Assumptions!$C$61)/C4)</f>
        <v>0.22557773309723392</v>
      </c>
      <c r="D8" s="119">
        <f>IF(D4=0,0,(Assumptions!D52*Assumptions!$C$59+Assumptions!D53*Assumptions!$C$60+Assumptions!D54*Assumptions!$C$61)/D4)</f>
        <v>0.22501286640800552</v>
      </c>
      <c r="E8" s="119">
        <f>IF(E4=0,0,(Assumptions!E52*Assumptions!$C$59+Assumptions!E53*Assumptions!$C$60+Assumptions!E54*Assumptions!$C$61)/E4)</f>
        <v>0.22501286640800552</v>
      </c>
      <c r="F8" s="119">
        <f>IF(F4=0,0,(Assumptions!F52*Assumptions!$C$59+Assumptions!F53*Assumptions!$C$60+Assumptions!F54*Assumptions!$C$61)/F4)</f>
        <v>0.22501286640800552</v>
      </c>
    </row>
    <row r="9" spans="1:6" s="23" customFormat="1" ht="28.15" customHeight="1">
      <c r="A9" t="s">
        <v>829</v>
      </c>
      <c r="B9" s="119">
        <f>1-B8</f>
        <v>0.7719299195733067</v>
      </c>
      <c r="C9" s="119">
        <f>1-C8</f>
        <v>0.77442226690276605</v>
      </c>
      <c r="D9" s="119">
        <f>1-D8</f>
        <v>0.77498713359199445</v>
      </c>
      <c r="E9" s="119">
        <f>1-E8</f>
        <v>0.77498713359199445</v>
      </c>
      <c r="F9" s="119">
        <f>1-F8</f>
        <v>0.77498713359199445</v>
      </c>
    </row>
    <row r="10" spans="1:6" s="18" customFormat="1" ht="19.899999999999999" customHeight="1">
      <c r="A10" t="s">
        <v>830</v>
      </c>
      <c r="B10" s="4">
        <f>IF(B8=0,0,1/B8)</f>
        <v>4.3846172112059296</v>
      </c>
      <c r="C10" s="4">
        <f>IF(C8=0,0,1/C8)</f>
        <v>4.4330616602524149</v>
      </c>
      <c r="D10" s="4">
        <f>IF(D8=0,0,1/D8)</f>
        <v>4.444190307707764</v>
      </c>
      <c r="E10" s="4">
        <f>IF(E8=0,0,1/E8)</f>
        <v>4.444190307707764</v>
      </c>
      <c r="F10" s="4">
        <f>IF(F8=0,0,1/F8)</f>
        <v>4.444190307707764</v>
      </c>
    </row>
    <row r="11" spans="1:6" s="18" customFormat="1" ht="19.899999999999999" customHeight="1">
      <c r="A11" s="1" t="s">
        <v>831</v>
      </c>
      <c r="B11" s="120">
        <f>B5*'Income Statement'!B16*B10</f>
        <v>13348.543240477002</v>
      </c>
      <c r="C11" s="120">
        <f>C5*'Income Statement'!C16*C10</f>
        <v>15710.6003995581</v>
      </c>
      <c r="D11" s="120">
        <f>D5*'Income Statement'!D16*D10</f>
        <v>18015.841913587145</v>
      </c>
      <c r="E11" s="120">
        <f>E5*'Income Statement'!E16*E10</f>
        <v>19527.880353031127</v>
      </c>
      <c r="F11" s="120">
        <f>F5*'Income Statement'!F16*F10</f>
        <v>21627.553138120729</v>
      </c>
    </row>
    <row r="12" spans="1:6" s="18" customFormat="1" ht="19.899999999999999" customHeight="1">
      <c r="A12" s="1" t="s">
        <v>126</v>
      </c>
      <c r="B12" s="124">
        <f>IF(B7=0,0,B11/B7)</f>
        <v>12.379697360119799</v>
      </c>
      <c r="C12" s="124">
        <f>IF(C7=0,0,C11/C7)</f>
        <v>14.260391131906584</v>
      </c>
      <c r="D12" s="124">
        <f>IF(D7=0,0,D11/D7)</f>
        <v>16.258198800066449</v>
      </c>
      <c r="E12" s="124">
        <f>IF(E7=0,0,E11/E7)</f>
        <v>17.622721294198822</v>
      </c>
      <c r="F12" s="124">
        <f>IF(F7=0,0,F11/F7)</f>
        <v>19.51754795391383</v>
      </c>
    </row>
    <row r="13" spans="1:6">
      <c r="A13" s="1" t="s">
        <v>365</v>
      </c>
      <c r="B13" s="4">
        <f>IF(B6=0,0,B7/(B6*'Income Statement'!B16))</f>
        <v>4.2501367362959499</v>
      </c>
      <c r="C13" s="4">
        <f>IF(C6=0,0,C7/(C6*'Income Statement'!C16))</f>
        <v>3.7303843513804584</v>
      </c>
      <c r="D13" s="4">
        <f>IF(D6=0,0,D7/(D6*'Income Statement'!D16))</f>
        <v>3.2802086103335886</v>
      </c>
      <c r="E13" s="4">
        <f>IF(E6=0,0,E7/(E6*'Income Statement'!E16))</f>
        <v>3.026222954002503</v>
      </c>
      <c r="F13" s="4">
        <f>IF(F6=0,0,F7/(F6*'Income Statement'!F16))</f>
        <v>2.7324274452108579</v>
      </c>
    </row>
    <row r="14" spans="1:6" s="18" customFormat="1" ht="24" customHeight="1">
      <c r="A14"/>
      <c r="B14"/>
      <c r="C14"/>
      <c r="D14"/>
      <c r="E14"/>
      <c r="F14"/>
    </row>
    <row r="15" spans="1:6" s="18" customFormat="1" ht="19.899999999999999" customHeight="1">
      <c r="A15" s="111" t="s">
        <v>832</v>
      </c>
      <c r="B15"/>
      <c r="C15"/>
      <c r="D15"/>
      <c r="E15"/>
      <c r="F15"/>
    </row>
    <row r="16" spans="1:6" s="18" customFormat="1" ht="19.899999999999999" customHeight="1">
      <c r="A16" s="1" t="s">
        <v>833</v>
      </c>
      <c r="B16" s="5">
        <f>'Yearly Summary'!B4</f>
        <v>500</v>
      </c>
      <c r="C16" s="5">
        <f>'Yearly Summary'!C4</f>
        <v>2000</v>
      </c>
      <c r="D16" s="5">
        <f>'Yearly Summary'!D4</f>
        <v>8000</v>
      </c>
      <c r="E16" s="5">
        <f>'Yearly Summary'!E4</f>
        <v>20000</v>
      </c>
      <c r="F16" s="5">
        <f>'Yearly Summary'!F4</f>
        <v>50000</v>
      </c>
    </row>
    <row r="17" spans="1:6" s="18" customFormat="1" ht="19.899999999999999" customHeight="1">
      <c r="A17" s="1" t="s">
        <v>834</v>
      </c>
      <c r="B17" s="5">
        <f>'Yearly Summary'!B5</f>
        <v>75</v>
      </c>
      <c r="C17" s="5">
        <f>'Yearly Summary'!C5</f>
        <v>400</v>
      </c>
      <c r="D17" s="5">
        <f>'Yearly Summary'!D5</f>
        <v>2000</v>
      </c>
      <c r="E17" s="5">
        <f>'Yearly Summary'!E5</f>
        <v>6000</v>
      </c>
      <c r="F17" s="5">
        <f>'Yearly Summary'!F5</f>
        <v>17500</v>
      </c>
    </row>
    <row r="18" spans="1:6" s="18" customFormat="1" ht="19.899999999999999" customHeight="1">
      <c r="A18" s="1" t="s">
        <v>835</v>
      </c>
      <c r="B18" s="120">
        <f>Assumptions!B39</f>
        <v>25</v>
      </c>
      <c r="C18" s="120">
        <f>Assumptions!C39</f>
        <v>30</v>
      </c>
      <c r="D18" s="120">
        <f>Assumptions!D39</f>
        <v>40</v>
      </c>
      <c r="E18" s="120">
        <f>Assumptions!E39</f>
        <v>60</v>
      </c>
      <c r="F18" s="120">
        <f>Assumptions!F39</f>
        <v>80</v>
      </c>
    </row>
    <row r="19" spans="1:6" s="18" customFormat="1" ht="19.899999999999999" customHeight="1">
      <c r="A19" s="1" t="s">
        <v>836</v>
      </c>
      <c r="B19" s="120">
        <f>IF(B17=0,0,'Income Statement'!B7/B17)</f>
        <v>766.66666666666663</v>
      </c>
      <c r="C19" s="120">
        <f>IF(C17=0,0,'Income Statement'!C7/C17)</f>
        <v>693.75</v>
      </c>
      <c r="D19" s="120">
        <f>IF(D17=0,0,'Income Statement'!D7/D17)</f>
        <v>550</v>
      </c>
      <c r="E19" s="120">
        <f>IF(E17=0,0,'Income Statement'!E7/E17)</f>
        <v>462.5</v>
      </c>
      <c r="F19" s="120">
        <f>IF(F17=0,0,'Income Statement'!F7/F17)</f>
        <v>411.28571428571428</v>
      </c>
    </row>
    <row r="20" spans="1:6" s="18" customFormat="1" ht="19.899999999999999" customHeight="1">
      <c r="A20" s="1" t="s">
        <v>837</v>
      </c>
      <c r="B20" s="119">
        <f>IF(B16=0,0,B17/B16)</f>
        <v>0.15</v>
      </c>
      <c r="C20" s="119">
        <f>IF(C16=0,0,C17/C16)</f>
        <v>0.2</v>
      </c>
      <c r="D20" s="119">
        <f>IF(D16=0,0,D17/D16)</f>
        <v>0.25</v>
      </c>
      <c r="E20" s="119">
        <f>IF(E16=0,0,E17/E16)</f>
        <v>0.3</v>
      </c>
      <c r="F20" s="119">
        <f>IF(F16=0,0,F17/F16)</f>
        <v>0.35</v>
      </c>
    </row>
    <row r="21" spans="1:6" s="18" customFormat="1" ht="19.899999999999999" customHeight="1">
      <c r="A21" s="1" t="s">
        <v>838</v>
      </c>
      <c r="B21" s="4">
        <f>Assumptions!$D$58</f>
        <v>4.6450426496117299</v>
      </c>
      <c r="C21" s="4">
        <f>Assumptions!$D$58</f>
        <v>4.6450426496117299</v>
      </c>
      <c r="D21" s="4">
        <f>Assumptions!$D$58</f>
        <v>4.6450426496117299</v>
      </c>
      <c r="E21" s="4">
        <f>Assumptions!$D$58</f>
        <v>4.6450426496117299</v>
      </c>
      <c r="F21" s="4">
        <f>Assumptions!$D$58</f>
        <v>4.6450426496117299</v>
      </c>
    </row>
    <row r="22" spans="1:6">
      <c r="A22" s="1" t="s">
        <v>839</v>
      </c>
      <c r="B22" s="120">
        <f>B19*'Income Statement'!B16*B21</f>
        <v>3178.5572799132938</v>
      </c>
      <c r="C22" s="120">
        <f>C19*'Income Statement'!C16*C21</f>
        <v>2884.7841055164522</v>
      </c>
      <c r="D22" s="120">
        <f>D19*'Income Statement'!D16*D21</f>
        <v>2283.3572717550651</v>
      </c>
      <c r="E22" s="120">
        <f>E19*'Income Statement'!E16*E21</f>
        <v>1917.0374651782777</v>
      </c>
      <c r="F22" s="120">
        <f>F19*'Income Statement'!F16*F21</f>
        <v>1696.3178084628094</v>
      </c>
    </row>
    <row r="23" spans="1:6" s="18" customFormat="1" ht="24" customHeight="1">
      <c r="A23" s="1" t="s">
        <v>840</v>
      </c>
      <c r="B23" s="124">
        <f>IF(B18=0,0,B22/B18)</f>
        <v>127.14229119653174</v>
      </c>
      <c r="C23" s="124">
        <f>IF(C18=0,0,C22/C18)</f>
        <v>96.159470183881737</v>
      </c>
      <c r="D23" s="124">
        <f>IF(D18=0,0,D22/D18)</f>
        <v>57.08393179387663</v>
      </c>
      <c r="E23" s="124">
        <f>IF(E18=0,0,E22/E18)</f>
        <v>31.950624419637961</v>
      </c>
      <c r="F23" s="124">
        <f>IF(F18=0,0,F22/F18)</f>
        <v>21.203972605785118</v>
      </c>
    </row>
    <row r="24" spans="1:6" s="18" customFormat="1" ht="19.899999999999999" customHeight="1">
      <c r="A24"/>
      <c r="B24"/>
      <c r="C24"/>
      <c r="D24"/>
      <c r="E24"/>
      <c r="F24"/>
    </row>
    <row r="25" spans="1:6" s="18" customFormat="1" ht="19.899999999999999" customHeight="1">
      <c r="A25" s="111" t="s">
        <v>841</v>
      </c>
      <c r="B25"/>
      <c r="C25"/>
      <c r="D25"/>
      <c r="E25"/>
      <c r="F25"/>
    </row>
    <row r="26" spans="1:6">
      <c r="A26" s="1" t="s">
        <v>842</v>
      </c>
      <c r="B26" s="4">
        <f>IF(B4=0,0,B16/B4)</f>
        <v>4.3478260869565215</v>
      </c>
      <c r="C26" s="4">
        <f>IF(C4=0,0,C16/C4)</f>
        <v>6.7796610169491522</v>
      </c>
      <c r="D26" s="4">
        <f>IF(D4=0,0,D16/D4)</f>
        <v>10.810810810810811</v>
      </c>
      <c r="E26" s="4">
        <f>IF(E4=0,0,E16/E4)</f>
        <v>13.513513513513514</v>
      </c>
      <c r="F26" s="4">
        <f>IF(F4=0,0,F16/F4)</f>
        <v>16.891891891891891</v>
      </c>
    </row>
    <row r="27" spans="1:6" s="18" customFormat="1" ht="24" customHeight="1">
      <c r="A27" s="1" t="s">
        <v>843</v>
      </c>
      <c r="B27" s="120">
        <f>'Yearly Summary'!B30</f>
        <v>714000</v>
      </c>
      <c r="C27" s="120">
        <f>'Yearly Summary'!C30</f>
        <v>3470000</v>
      </c>
      <c r="D27" s="120">
        <f>'Yearly Summary'!D30</f>
        <v>13780000</v>
      </c>
      <c r="E27" s="120">
        <f>'Yearly Summary'!E30</f>
        <v>34700000</v>
      </c>
      <c r="F27" s="120">
        <f>'Yearly Summary'!F30</f>
        <v>90450000</v>
      </c>
    </row>
    <row r="28" spans="1:6" s="18" customFormat="1" ht="19.899999999999999" customHeight="1">
      <c r="A28" s="1" t="s">
        <v>844</v>
      </c>
      <c r="B28" s="119">
        <f>IF(B27=0,0,'Income Statement'!B7/B27)</f>
        <v>8.0532212885154067E-2</v>
      </c>
      <c r="C28" s="119">
        <f>IF(C27=0,0,'Income Statement'!C7/C27)</f>
        <v>7.9971181556195967E-2</v>
      </c>
      <c r="D28" s="119">
        <f>IF(D27=0,0,'Income Statement'!D7/D27)</f>
        <v>7.982583454281568E-2</v>
      </c>
      <c r="E28" s="119">
        <f>IF(E27=0,0,'Income Statement'!E7/E27)</f>
        <v>7.9971181556195967E-2</v>
      </c>
      <c r="F28" s="119">
        <f>IF(F27=0,0,'Income Statement'!F7/F27)</f>
        <v>7.9574350469872865E-2</v>
      </c>
    </row>
    <row r="29" spans="1:6" s="18" customFormat="1" ht="19.899999999999999" customHeight="1">
      <c r="A29" s="1" t="s">
        <v>845</v>
      </c>
      <c r="B29" s="119">
        <f>1-B8+0.15</f>
        <v>0.92192991957330672</v>
      </c>
      <c r="C29" s="119">
        <f>1-C8+0.15</f>
        <v>0.92442226690276608</v>
      </c>
      <c r="D29" s="119">
        <f>1-D8+0.15</f>
        <v>0.92498713359199447</v>
      </c>
      <c r="E29" s="119">
        <f>1-E8+0.15</f>
        <v>0.92498713359199447</v>
      </c>
      <c r="F29" s="119">
        <f>1-F8+0.15</f>
        <v>0.92498713359199447</v>
      </c>
    </row>
  </sheetData>
  <mergeCells count="1">
    <mergeCell ref="A1:F1"/>
  </mergeCells>
  <phoneticPr fontId="3" type="noConversion"/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CD89-F0FB-462F-8FAF-78ACC7B64E25}">
  <sheetPr>
    <tabColor rgb="FFFFFF00"/>
  </sheetPr>
  <dimension ref="A1:F361"/>
  <sheetViews>
    <sheetView workbookViewId="0">
      <selection activeCell="C5" sqref="C5"/>
    </sheetView>
  </sheetViews>
  <sheetFormatPr defaultRowHeight="14.5"/>
  <cols>
    <col min="1" max="1" width="36.36328125" customWidth="1"/>
    <col min="2" max="5" width="16" bestFit="1" customWidth="1"/>
    <col min="6" max="6" width="16.7265625" bestFit="1" customWidth="1"/>
    <col min="7" max="8" width="6" customWidth="1"/>
  </cols>
  <sheetData>
    <row r="1" spans="1:6" ht="35" customHeight="1">
      <c r="A1" s="197" t="s">
        <v>846</v>
      </c>
      <c r="B1" s="197"/>
      <c r="C1" s="197"/>
      <c r="D1" s="197"/>
      <c r="E1" s="197"/>
      <c r="F1" s="197"/>
    </row>
    <row r="3" spans="1:6">
      <c r="B3" s="115">
        <v>2026</v>
      </c>
      <c r="C3" s="115">
        <v>2027</v>
      </c>
      <c r="D3" s="115">
        <v>2028</v>
      </c>
      <c r="E3" s="115">
        <v>2029</v>
      </c>
      <c r="F3" s="115">
        <v>2030</v>
      </c>
    </row>
    <row r="5" spans="1:6">
      <c r="A5" s="111" t="s">
        <v>127</v>
      </c>
    </row>
    <row r="6" spans="1:6">
      <c r="A6" t="s">
        <v>0</v>
      </c>
      <c r="B6" s="120">
        <f>'Income Statement'!B10</f>
        <v>392253</v>
      </c>
      <c r="C6" s="120">
        <f>'Income Statement'!C10</f>
        <v>1167859</v>
      </c>
      <c r="D6" s="120">
        <f>'Income Statement'!D10</f>
        <v>3356388</v>
      </c>
      <c r="E6" s="120">
        <f>'Income Statement'!E10</f>
        <v>7287776</v>
      </c>
      <c r="F6" s="120">
        <f>'Income Statement'!F10</f>
        <v>16223052</v>
      </c>
    </row>
    <row r="7" spans="1:6">
      <c r="A7" t="s">
        <v>811</v>
      </c>
      <c r="B7" s="5">
        <f>'Yearly Summary'!B9</f>
        <v>115</v>
      </c>
      <c r="C7" s="5">
        <f>'Yearly Summary'!C9</f>
        <v>295</v>
      </c>
      <c r="D7" s="5">
        <f>'Yearly Summary'!D9</f>
        <v>740</v>
      </c>
      <c r="E7" s="5">
        <f>'Yearly Summary'!E9</f>
        <v>1480</v>
      </c>
      <c r="F7" s="5">
        <f>'Yearly Summary'!F9</f>
        <v>2960</v>
      </c>
    </row>
    <row r="8" spans="1:6">
      <c r="A8" t="s">
        <v>491</v>
      </c>
      <c r="B8" s="5">
        <f>'Yearly Summary'!B10</f>
        <v>140</v>
      </c>
      <c r="C8" s="5">
        <f>'Yearly Summary'!C10</f>
        <v>630</v>
      </c>
      <c r="D8" s="5">
        <f>'Yearly Summary'!D10</f>
        <v>2500</v>
      </c>
      <c r="E8" s="5">
        <f>'Yearly Summary'!E10</f>
        <v>6300</v>
      </c>
      <c r="F8" s="5">
        <f>'Yearly Summary'!F10</f>
        <v>16000</v>
      </c>
    </row>
    <row r="9" spans="1:6">
      <c r="A9" t="s">
        <v>847</v>
      </c>
      <c r="B9" s="120">
        <f>'Unit Economics'!B5</f>
        <v>3410.8956521739128</v>
      </c>
      <c r="C9" s="120">
        <f>'Unit Economics'!C5</f>
        <v>3958.84406779661</v>
      </c>
      <c r="D9" s="120">
        <f>'Unit Economics'!D5</f>
        <v>4535.6594594594599</v>
      </c>
      <c r="E9" s="120">
        <f>'Unit Economics'!E5</f>
        <v>4924.1729729729732</v>
      </c>
      <c r="F9" s="120">
        <f>'Unit Economics'!F5</f>
        <v>5480.7608108108107</v>
      </c>
    </row>
    <row r="11" spans="1:6">
      <c r="A11" s="111" t="s">
        <v>848</v>
      </c>
    </row>
    <row r="12" spans="1:6">
      <c r="A12" t="s">
        <v>849</v>
      </c>
      <c r="B12" s="120">
        <f>'Income Statement'!B14</f>
        <v>42146.616999999998</v>
      </c>
      <c r="C12" s="120">
        <f>'Income Statement'!C14</f>
        <v>122390.321</v>
      </c>
      <c r="D12" s="120">
        <f>'Income Statement'!D14</f>
        <v>356578.79000000004</v>
      </c>
      <c r="E12" s="120">
        <f>'Income Statement'!E14</f>
        <v>784619.98699999996</v>
      </c>
      <c r="F12" s="120">
        <f>'Income Statement'!F14</f>
        <v>1818277.9339999999</v>
      </c>
    </row>
    <row r="13" spans="1:6">
      <c r="A13" t="s">
        <v>850</v>
      </c>
      <c r="B13" s="120">
        <f>IF(B7=0,0,B12/B7)</f>
        <v>366.49232173913043</v>
      </c>
      <c r="C13" s="120">
        <f>IF(C7=0,0,C12/C7)</f>
        <v>414.8824440677966</v>
      </c>
      <c r="D13" s="120">
        <f>IF(D7=0,0,D12/D7)</f>
        <v>481.86322972972977</v>
      </c>
      <c r="E13" s="120">
        <f>IF(E7=0,0,E12/E7)</f>
        <v>530.14863986486489</v>
      </c>
      <c r="F13" s="120">
        <f>IF(F7=0,0,F12/F7)</f>
        <v>614.2830858108108</v>
      </c>
    </row>
    <row r="14" spans="1:6">
      <c r="A14" t="s">
        <v>851</v>
      </c>
      <c r="B14" s="120">
        <f>'Income Statement'!B23</f>
        <v>721468.19</v>
      </c>
      <c r="C14" s="120">
        <f>'Income Statement'!C23</f>
        <v>2223059.37</v>
      </c>
      <c r="D14" s="120">
        <f>'Income Statement'!D23</f>
        <v>4545318.8400000008</v>
      </c>
      <c r="E14" s="120">
        <f>'Income Statement'!E23</f>
        <v>7982843.8015999999</v>
      </c>
      <c r="F14" s="120">
        <f>'Income Statement'!F23</f>
        <v>13276807.622720001</v>
      </c>
    </row>
    <row r="15" spans="1:6">
      <c r="A15" s="1" t="s">
        <v>852</v>
      </c>
      <c r="B15" s="120">
        <f>B9-B13</f>
        <v>3044.4033304347822</v>
      </c>
      <c r="C15" s="120">
        <f>C9-C13</f>
        <v>3543.9616237288133</v>
      </c>
      <c r="D15" s="120">
        <f>D9-D13</f>
        <v>4053.7962297297299</v>
      </c>
      <c r="E15" s="120">
        <f>E9-E13</f>
        <v>4394.0243331081083</v>
      </c>
      <c r="F15" s="120">
        <f>F9-F13</f>
        <v>4866.4777249999997</v>
      </c>
    </row>
    <row r="17" spans="1:6">
      <c r="A17" s="111" t="s">
        <v>129</v>
      </c>
    </row>
    <row r="18" spans="1:6">
      <c r="A18" t="s">
        <v>853</v>
      </c>
      <c r="B18" s="5">
        <f>IF(B15=0,0,B14/B15)</f>
        <v>236.98180289960609</v>
      </c>
      <c r="C18" s="5">
        <f>IF(C15=0,0,C14/C15)</f>
        <v>627.28088112336468</v>
      </c>
      <c r="D18" s="5">
        <f>IF(D15=0,0,D14/D15)</f>
        <v>1121.2499549596357</v>
      </c>
      <c r="E18" s="5">
        <f>IF(E15=0,0,E14/E15)</f>
        <v>1816.7500214896043</v>
      </c>
      <c r="F18" s="5">
        <f>IF(F15=0,0,F14/F15)</f>
        <v>2728.2170746440643</v>
      </c>
    </row>
    <row r="19" spans="1:6">
      <c r="A19" t="s">
        <v>130</v>
      </c>
      <c r="B19" s="120">
        <f>B18*B9</f>
        <v>808320.20115460164</v>
      </c>
      <c r="C19" s="120">
        <f>C18*C9</f>
        <v>2483307.1950774626</v>
      </c>
      <c r="D19" s="120">
        <f>D18*D9</f>
        <v>5085607.9646311654</v>
      </c>
      <c r="E19" s="120">
        <f>E18*E9</f>
        <v>8945991.3544671778</v>
      </c>
      <c r="F19" s="120">
        <f>F18*F9</f>
        <v>14952705.226094099</v>
      </c>
    </row>
    <row r="20" spans="1:6">
      <c r="A20" t="s">
        <v>854</v>
      </c>
      <c r="B20" s="5">
        <f>B7</f>
        <v>115</v>
      </c>
      <c r="C20" s="5">
        <f>C7</f>
        <v>295</v>
      </c>
      <c r="D20" s="5">
        <f>D7</f>
        <v>740</v>
      </c>
      <c r="E20" s="5">
        <f>E7</f>
        <v>1480</v>
      </c>
      <c r="F20" s="5">
        <f>F7</f>
        <v>2960</v>
      </c>
    </row>
    <row r="21" spans="1:6">
      <c r="A21" t="s">
        <v>131</v>
      </c>
      <c r="B21" s="120">
        <f>B6</f>
        <v>392253</v>
      </c>
      <c r="C21" s="120">
        <f>C6</f>
        <v>1167859</v>
      </c>
      <c r="D21" s="120">
        <f>D6</f>
        <v>3356388</v>
      </c>
      <c r="E21" s="120">
        <f>E6</f>
        <v>7287776</v>
      </c>
      <c r="F21" s="120">
        <f>F6</f>
        <v>16223052</v>
      </c>
    </row>
    <row r="22" spans="1:6">
      <c r="A22" s="1" t="s">
        <v>855</v>
      </c>
      <c r="B22" s="5">
        <f>B20-B18</f>
        <v>-121.98180289960609</v>
      </c>
      <c r="C22" s="5">
        <f>C20-C18</f>
        <v>-332.28088112336468</v>
      </c>
      <c r="D22" s="5">
        <f>D20-D18</f>
        <v>-381.24995495963572</v>
      </c>
      <c r="E22" s="5">
        <f>E20-E18</f>
        <v>-336.75002148960425</v>
      </c>
      <c r="F22" s="5">
        <f>F20-F18</f>
        <v>231.78292535593573</v>
      </c>
    </row>
    <row r="24" spans="1:6">
      <c r="A24" s="111" t="s">
        <v>132</v>
      </c>
    </row>
    <row r="25" spans="1:6">
      <c r="A25" t="s">
        <v>856</v>
      </c>
      <c r="B25" s="119">
        <f>IF(B6=0,0,(B21-B19)/B21)</f>
        <v>-1.060711329561792</v>
      </c>
      <c r="C25" s="119">
        <f>IF(C6=0,0,(C21-C19)/C21)</f>
        <v>-1.1263758682147953</v>
      </c>
      <c r="D25" s="119">
        <f>IF(D6=0,0,(D21-D19)/D21)</f>
        <v>-0.51520264183734577</v>
      </c>
      <c r="E25" s="119">
        <f>IF(E6=0,0,(E21-E19)/E21)</f>
        <v>-0.22753379830378676</v>
      </c>
      <c r="F25" s="119">
        <f>IF(F6=0,0,(F21-F19)/F21)</f>
        <v>7.8305042349978371E-2</v>
      </c>
    </row>
    <row r="27" spans="1:6">
      <c r="A27" t="s">
        <v>133</v>
      </c>
      <c r="B27" s="119">
        <f>'Income Statement'!B16</f>
        <v>0.89255246741261385</v>
      </c>
      <c r="C27" s="119">
        <f>'Income Statement'!C16</f>
        <v>0.89520111503186606</v>
      </c>
      <c r="D27" s="119">
        <f>'Income Statement'!D16</f>
        <v>0.89376115335890849</v>
      </c>
      <c r="E27" s="119">
        <f>'Income Statement'!E16</f>
        <v>0.8923375269766799</v>
      </c>
      <c r="F27" s="119">
        <f>'Income Statement'!F16</f>
        <v>0.88792010689480616</v>
      </c>
    </row>
    <row r="28" spans="1:6">
      <c r="A28" t="s">
        <v>134</v>
      </c>
      <c r="B28" s="119">
        <f>'Income Statement'!B28</f>
        <v>-0.94674051441289142</v>
      </c>
      <c r="C28" s="119">
        <f>'Income Statement'!C28</f>
        <v>-1.0083329331708708</v>
      </c>
      <c r="D28" s="119">
        <f>'Income Statement'!D28</f>
        <v>-0.4604681073821027</v>
      </c>
      <c r="E28" s="119">
        <f>'Income Statement'!E28</f>
        <v>-0.20303694688201168</v>
      </c>
      <c r="F28" s="119">
        <f>'Income Statement'!F28</f>
        <v>6.952862157379501E-2</v>
      </c>
    </row>
    <row r="30" spans="1:6">
      <c r="A30" s="126" t="s">
        <v>857</v>
      </c>
    </row>
    <row r="51" spans="1:6" ht="16">
      <c r="A51" s="46" t="s">
        <v>135</v>
      </c>
      <c r="B51" s="12"/>
      <c r="C51" s="12"/>
      <c r="D51" s="12"/>
      <c r="E51" s="12"/>
      <c r="F51" s="12"/>
    </row>
    <row r="52" spans="1:6" ht="16">
      <c r="A52" s="12"/>
      <c r="B52" s="12"/>
      <c r="C52" s="12"/>
      <c r="D52" s="12"/>
      <c r="E52" s="12"/>
      <c r="F52" s="12"/>
    </row>
    <row r="53" spans="1:6" ht="16">
      <c r="A53" s="42" t="s">
        <v>136</v>
      </c>
      <c r="B53" s="48">
        <f>B8-B15</f>
        <v>-2904.4033304347822</v>
      </c>
      <c r="C53" s="48">
        <f>C8-C15</f>
        <v>-2913.9616237288133</v>
      </c>
      <c r="D53" s="48">
        <f>D8-D15</f>
        <v>-1553.7962297297299</v>
      </c>
      <c r="E53" s="48">
        <f>E8-E15</f>
        <v>1905.9756668918917</v>
      </c>
      <c r="F53" s="48">
        <f>F8-F15</f>
        <v>11133.522274999999</v>
      </c>
    </row>
    <row r="54" spans="1:6" ht="16">
      <c r="A54" s="44" t="s">
        <v>137</v>
      </c>
      <c r="B54" s="47">
        <f>IF(B8&gt;0,B53/B8,0)</f>
        <v>-20.74573807453416</v>
      </c>
      <c r="C54" s="47">
        <f>IF(C8&gt;0,C53/C8,0)</f>
        <v>-4.625335910680656</v>
      </c>
      <c r="D54" s="47">
        <f>IF(D8&gt;0,D53/D8,0)</f>
        <v>-0.62151849189189201</v>
      </c>
      <c r="E54" s="47">
        <f>IF(E8&gt;0,E53/E8,0)</f>
        <v>0.3025358201415701</v>
      </c>
      <c r="F54" s="47">
        <f>IF(F8&gt;0,F53/F8,0)</f>
        <v>0.69584514218749993</v>
      </c>
    </row>
    <row r="55" spans="1:6" ht="16">
      <c r="A55" s="12"/>
      <c r="B55" s="12"/>
      <c r="C55" s="12"/>
      <c r="D55" s="12"/>
      <c r="E55" s="12"/>
      <c r="F55" s="12"/>
    </row>
    <row r="56" spans="1:6" ht="16">
      <c r="A56" s="44" t="s">
        <v>138</v>
      </c>
      <c r="B56" s="50">
        <f>IF(B45&lt;&gt;0,B53/B45,0)</f>
        <v>0</v>
      </c>
      <c r="C56" s="50">
        <f>IF(C45&lt;&gt;0,C53/C45,0)</f>
        <v>0</v>
      </c>
      <c r="D56" s="50">
        <f>IF(D45&lt;&gt;0,D53/D45,0)</f>
        <v>0</v>
      </c>
      <c r="E56" s="50">
        <f>IF(E45&lt;&gt;0,E53/E45,0)</f>
        <v>0</v>
      </c>
      <c r="F56" s="50">
        <f>IF(F45&lt;&gt;0,F53/F45,0)</f>
        <v>0</v>
      </c>
    </row>
    <row r="57" spans="1:6" ht="16">
      <c r="A57" s="12"/>
      <c r="B57" s="12"/>
      <c r="C57" s="12"/>
      <c r="D57" s="12"/>
      <c r="E57" s="12"/>
      <c r="F57" s="12"/>
    </row>
    <row r="58" spans="1:6" ht="16">
      <c r="A58" s="46" t="s">
        <v>139</v>
      </c>
      <c r="B58" s="12"/>
      <c r="C58" s="12"/>
      <c r="D58" s="12"/>
      <c r="E58" s="12"/>
      <c r="F58" s="12"/>
    </row>
    <row r="59" spans="1:6" ht="16">
      <c r="A59" s="12"/>
      <c r="B59" s="12"/>
      <c r="C59" s="12"/>
      <c r="D59" s="12"/>
      <c r="E59" s="12"/>
      <c r="F59" s="12"/>
    </row>
    <row r="60" spans="1:6" ht="16">
      <c r="A60" s="42" t="s">
        <v>140</v>
      </c>
      <c r="B60" s="48">
        <f>'Cash Flow Statement'!B23</f>
        <v>0</v>
      </c>
      <c r="C60" s="48">
        <f>'Cash Flow Statement'!C23</f>
        <v>0</v>
      </c>
      <c r="D60" s="48">
        <f>'Cash Flow Statement'!D23</f>
        <v>0</v>
      </c>
      <c r="E60" s="48">
        <f>'Cash Flow Statement'!E23</f>
        <v>0</v>
      </c>
      <c r="F60" s="48">
        <f>'Cash Flow Statement'!F23</f>
        <v>0</v>
      </c>
    </row>
    <row r="61" spans="1:6" ht="16">
      <c r="A61" s="44" t="s">
        <v>141</v>
      </c>
      <c r="B61" s="48">
        <f>'Income Statement'!B26</f>
        <v>0</v>
      </c>
      <c r="C61" s="48">
        <f>'Income Statement'!C26</f>
        <v>0</v>
      </c>
      <c r="D61" s="48">
        <f>'Income Statement'!D26</f>
        <v>0</v>
      </c>
      <c r="E61" s="48">
        <f>'Income Statement'!E26</f>
        <v>0</v>
      </c>
      <c r="F61" s="48">
        <f>'Income Statement'!F26</f>
        <v>0</v>
      </c>
    </row>
    <row r="62" spans="1:6" ht="16">
      <c r="A62" s="12"/>
      <c r="B62" s="12"/>
      <c r="C62" s="12"/>
      <c r="D62" s="12"/>
      <c r="E62" s="12"/>
      <c r="F62" s="12"/>
    </row>
    <row r="63" spans="1:6" ht="16">
      <c r="A63" s="42" t="s">
        <v>142</v>
      </c>
      <c r="B63" s="48">
        <f>B25-B61</f>
        <v>-1.060711329561792</v>
      </c>
      <c r="C63" s="48">
        <f>C25-C61</f>
        <v>-1.1263758682147953</v>
      </c>
      <c r="D63" s="48">
        <f>D25-D61</f>
        <v>-0.51520264183734577</v>
      </c>
      <c r="E63" s="48">
        <f>E25-E61</f>
        <v>-0.22753379830378676</v>
      </c>
      <c r="F63" s="48">
        <f>F25-F61</f>
        <v>7.8305042349978371E-2</v>
      </c>
    </row>
    <row r="65" spans="1:6" ht="16">
      <c r="A65" s="42" t="s">
        <v>143</v>
      </c>
      <c r="B65" s="49">
        <f>IF(B17&gt;0,B63/B17,0)</f>
        <v>0</v>
      </c>
      <c r="C65" s="49">
        <f>IF(C17&gt;0,C63/C17,0)</f>
        <v>0</v>
      </c>
      <c r="D65" s="49">
        <f>IF(D17&gt;0,D63/D17,0)</f>
        <v>0</v>
      </c>
      <c r="E65" s="49">
        <f>IF(E17&gt;0,E63/E17,0)</f>
        <v>0</v>
      </c>
      <c r="F65" s="49">
        <f>IF(F17&gt;0,F63/F17,0)</f>
        <v>0</v>
      </c>
    </row>
    <row r="66" spans="1:6" ht="16">
      <c r="A66" s="44" t="s">
        <v>144</v>
      </c>
      <c r="B66" s="48">
        <f>B65*B10</f>
        <v>0</v>
      </c>
      <c r="C66" s="48">
        <f>C65*C10</f>
        <v>0</v>
      </c>
      <c r="D66" s="48">
        <f>D65*D10</f>
        <v>0</v>
      </c>
      <c r="E66" s="48">
        <f>E65*E10</f>
        <v>0</v>
      </c>
      <c r="F66" s="48">
        <f>F65*F10</f>
        <v>0</v>
      </c>
    </row>
    <row r="67" spans="1:6" ht="16">
      <c r="A67" s="12"/>
      <c r="B67" s="12"/>
      <c r="C67" s="12"/>
      <c r="D67" s="12"/>
      <c r="E67" s="12"/>
      <c r="F67" s="12"/>
    </row>
    <row r="68" spans="1:6" ht="16">
      <c r="A68" s="44" t="s">
        <v>145</v>
      </c>
      <c r="B68" s="49">
        <f>B29-B65</f>
        <v>0</v>
      </c>
      <c r="C68" s="49">
        <f>C29-C65</f>
        <v>0</v>
      </c>
      <c r="D68" s="49">
        <f>D29-D65</f>
        <v>0</v>
      </c>
      <c r="E68" s="49">
        <f>E29-E65</f>
        <v>0</v>
      </c>
      <c r="F68" s="49">
        <f>F29-F65</f>
        <v>0</v>
      </c>
    </row>
    <row r="69" spans="1:6" ht="16">
      <c r="A69" s="12"/>
      <c r="B69" s="12"/>
      <c r="C69" s="12"/>
      <c r="D69" s="12"/>
      <c r="E69" s="12"/>
      <c r="F69" s="12"/>
    </row>
    <row r="70" spans="1:6" ht="16">
      <c r="A70" s="46" t="s">
        <v>146</v>
      </c>
      <c r="B70" s="12"/>
      <c r="C70" s="12"/>
      <c r="D70" s="12"/>
      <c r="E70" s="12"/>
      <c r="F70" s="12"/>
    </row>
    <row r="71" spans="1:6" ht="16">
      <c r="A71" s="12"/>
      <c r="B71" s="12"/>
      <c r="C71" s="12"/>
      <c r="D71" s="12"/>
      <c r="E71" s="12"/>
      <c r="F71" s="12"/>
    </row>
    <row r="72" spans="1:6" ht="16">
      <c r="A72" s="42" t="s">
        <v>147</v>
      </c>
      <c r="B72" s="48">
        <f>B48</f>
        <v>0</v>
      </c>
      <c r="C72" s="48">
        <f>B72+C48</f>
        <v>0</v>
      </c>
      <c r="D72" s="48">
        <f>C72+D48</f>
        <v>0</v>
      </c>
      <c r="E72" s="48">
        <f>D72+E48</f>
        <v>0</v>
      </c>
      <c r="F72" s="48">
        <f>E72+F48</f>
        <v>0</v>
      </c>
    </row>
    <row r="73" spans="1:6" ht="16">
      <c r="A73" s="44" t="s">
        <v>148</v>
      </c>
      <c r="B73" s="48">
        <f>B60</f>
        <v>0</v>
      </c>
      <c r="C73" s="48">
        <f>B73+C60</f>
        <v>0</v>
      </c>
      <c r="D73" s="48">
        <f>C73+D60</f>
        <v>0</v>
      </c>
      <c r="E73" s="48">
        <f>D73+E60</f>
        <v>0</v>
      </c>
      <c r="F73" s="48">
        <f>E73+F60</f>
        <v>0</v>
      </c>
    </row>
    <row r="74" spans="1:6" ht="16">
      <c r="A74" s="12"/>
      <c r="B74" s="12"/>
      <c r="C74" s="12"/>
      <c r="D74" s="12"/>
      <c r="E74" s="12"/>
      <c r="F74" s="12"/>
    </row>
    <row r="75" spans="1:6" ht="16">
      <c r="A75" s="42" t="s">
        <v>149</v>
      </c>
      <c r="B75" s="12" t="str">
        <f>IF(B48&gt;=0,"Profitable","Loss")</f>
        <v>Profitable</v>
      </c>
      <c r="C75" s="12" t="str">
        <f>IF(C48&gt;=0,"Profitable","Loss")</f>
        <v>Profitable</v>
      </c>
      <c r="D75" s="12" t="str">
        <f>IF(D48&gt;=0,"Profitable","Loss")</f>
        <v>Profitable</v>
      </c>
      <c r="E75" s="12" t="str">
        <f>IF(E48&gt;=0,"Profitable","Loss")</f>
        <v>Profitable</v>
      </c>
      <c r="F75" s="12" t="str">
        <f>IF(F48&gt;=0,"Profitable","Loss")</f>
        <v>Profitable</v>
      </c>
    </row>
    <row r="76" spans="1:6" ht="16">
      <c r="A76" s="44" t="s">
        <v>150</v>
      </c>
      <c r="B76" s="12" t="str">
        <f>IF(B60&gt;=0,"Cash Positive","Cash Negative")</f>
        <v>Cash Positive</v>
      </c>
      <c r="C76" s="12" t="str">
        <f>IF(C60&gt;=0,"Cash Positive","Cash Negative")</f>
        <v>Cash Positive</v>
      </c>
      <c r="D76" s="12" t="str">
        <f>IF(D60&gt;=0,"Cash Positive","Cash Negative")</f>
        <v>Cash Positive</v>
      </c>
      <c r="E76" s="12" t="str">
        <f>IF(E60&gt;=0,"Cash Positive","Cash Negative")</f>
        <v>Cash Positive</v>
      </c>
      <c r="F76" s="12" t="str">
        <f>IF(F60&gt;=0,"Cash Positive","Cash Negative")</f>
        <v>Cash Positive</v>
      </c>
    </row>
    <row r="77" spans="1:6" ht="16">
      <c r="A77" s="12"/>
      <c r="B77" s="12"/>
      <c r="C77" s="12"/>
      <c r="D77" s="12"/>
      <c r="E77" s="12"/>
      <c r="F77" s="12"/>
    </row>
    <row r="78" spans="1:6" ht="16">
      <c r="A78" s="44" t="s">
        <v>151</v>
      </c>
      <c r="B78" s="12" t="str">
        <f>IF(B72&gt;=0,"Cumulative Profit","Cumulative Loss")</f>
        <v>Cumulative Profit</v>
      </c>
      <c r="C78" s="12" t="str">
        <f>IF(C72&gt;=0,"Cumulative Profit","Cumulative Loss")</f>
        <v>Cumulative Profit</v>
      </c>
      <c r="D78" s="12" t="str">
        <f>IF(D72&gt;=0,"Cumulative Profit","Cumulative Loss")</f>
        <v>Cumulative Profit</v>
      </c>
      <c r="E78" s="12" t="str">
        <f>IF(E72&gt;=0,"Cumulative Profit","Cumulative Loss")</f>
        <v>Cumulative Profit</v>
      </c>
      <c r="F78" s="12" t="str">
        <f>IF(F72&gt;=0,"Cumulative Profit","Cumulative Loss")</f>
        <v>Cumulative Profit</v>
      </c>
    </row>
    <row r="80" spans="1:6" ht="16">
      <c r="A80" s="46" t="s">
        <v>152</v>
      </c>
      <c r="B80" s="12"/>
      <c r="C80" s="12"/>
      <c r="D80" s="12"/>
      <c r="E80" s="12"/>
      <c r="F80" s="12"/>
    </row>
    <row r="82" spans="1:6" ht="16">
      <c r="A82" s="42" t="s">
        <v>153</v>
      </c>
      <c r="B82" s="12"/>
      <c r="C82" s="12"/>
      <c r="D82" s="12"/>
      <c r="E82" s="12"/>
      <c r="F82" s="12"/>
    </row>
    <row r="83" spans="1:6" ht="16">
      <c r="A83" s="44" t="s">
        <v>154</v>
      </c>
      <c r="B83" s="49">
        <f>IF(AND(B17&gt;0,B25&gt;0),(B25*1.1)/B17,B29*1.1)</f>
        <v>0</v>
      </c>
      <c r="C83" s="49">
        <f>IF(AND(C17&gt;0,C25&gt;0),(C25*1.1)/C17,C29*1.1)</f>
        <v>0</v>
      </c>
      <c r="D83" s="49">
        <f>IF(AND(D17&gt;0,D25&gt;0),(D25*1.1)/D17,D29*1.1)</f>
        <v>0</v>
      </c>
      <c r="E83" s="49">
        <f>IF(AND(E17&gt;0,E25&gt;0),(E25*1.1)/E17,E29*1.1)</f>
        <v>0</v>
      </c>
      <c r="F83" s="49">
        <f>IF(AND(F17&gt;0,F25&gt;0),(F25*1.1)/F17,F29*1.1)</f>
        <v>0</v>
      </c>
    </row>
    <row r="84" spans="1:6" ht="16">
      <c r="A84" s="44" t="s">
        <v>155</v>
      </c>
      <c r="B84" s="49">
        <f>B83-B29</f>
        <v>0</v>
      </c>
      <c r="C84" s="49">
        <f>C83-C29</f>
        <v>0</v>
      </c>
      <c r="D84" s="49">
        <f>D83-D29</f>
        <v>0</v>
      </c>
      <c r="E84" s="49">
        <f>E83-E29</f>
        <v>0</v>
      </c>
      <c r="F84" s="49">
        <f>F83-F29</f>
        <v>0</v>
      </c>
    </row>
    <row r="85" spans="1:6" ht="16">
      <c r="A85" s="12"/>
      <c r="B85" s="12"/>
      <c r="C85" s="12"/>
      <c r="D85" s="12"/>
      <c r="E85" s="12"/>
      <c r="F85" s="12"/>
    </row>
    <row r="86" spans="1:6" ht="16">
      <c r="A86" s="44" t="s">
        <v>156</v>
      </c>
      <c r="B86" s="49">
        <f>IF((B10-B16*0.9)&gt;0,B25/(B10-B16*0.9),B29*0.9)</f>
        <v>0</v>
      </c>
      <c r="C86" s="49">
        <f>IF((C10-C16*0.9)&gt;0,C25/(C10-C16*0.9),C29*0.9)</f>
        <v>0</v>
      </c>
      <c r="D86" s="49">
        <f>IF((D10-D16*0.9)&gt;0,D25/(D10-D16*0.9),D29*0.9)</f>
        <v>0</v>
      </c>
      <c r="E86" s="49">
        <f>IF((E10-E16*0.9)&gt;0,E25/(E10-E16*0.9),E29*0.9)</f>
        <v>0</v>
      </c>
      <c r="F86" s="49">
        <f>IF((F10-F16*0.9)&gt;0,F25/(F10-F16*0.9),F29*0.9)</f>
        <v>0</v>
      </c>
    </row>
    <row r="87" spans="1:6" ht="16">
      <c r="A87" s="44" t="s">
        <v>157</v>
      </c>
      <c r="B87" s="49">
        <f>B29-B86</f>
        <v>0</v>
      </c>
      <c r="C87" s="49">
        <f>C29-C86</f>
        <v>0</v>
      </c>
      <c r="D87" s="49">
        <f>D29-D86</f>
        <v>0</v>
      </c>
      <c r="E87" s="49">
        <f>E29-E86</f>
        <v>0</v>
      </c>
      <c r="F87" s="49">
        <f>F29-F86</f>
        <v>0</v>
      </c>
    </row>
    <row r="88" spans="1:6" ht="16">
      <c r="A88" s="12"/>
      <c r="B88" s="12"/>
      <c r="C88" s="12"/>
      <c r="D88" s="12"/>
      <c r="E88" s="12"/>
      <c r="F88" s="12"/>
    </row>
    <row r="89" spans="1:6" ht="16">
      <c r="A89" s="42" t="s">
        <v>158</v>
      </c>
      <c r="B89" s="12"/>
      <c r="C89" s="12"/>
      <c r="D89" s="12"/>
      <c r="E89" s="12"/>
      <c r="F89" s="12"/>
    </row>
    <row r="90" spans="1:6" ht="16">
      <c r="A90" s="44" t="s">
        <v>159</v>
      </c>
      <c r="B90" s="49">
        <f>IF((B10*1.1-B16)&gt;0,B25/(B10*1.1-B16),B29*0.9)</f>
        <v>0</v>
      </c>
      <c r="C90" s="49">
        <f>IF((C10*1.1-C16)&gt;0,C25/(C10*1.1-C16),C29*0.9)</f>
        <v>0</v>
      </c>
      <c r="D90" s="49">
        <f>IF((D10*1.1-D16)&gt;0,D25/(D10*1.1-D16),D29*0.9)</f>
        <v>0</v>
      </c>
      <c r="E90" s="49">
        <f>IF((E10*1.1-E16)&gt;0,E25/(E10*1.1-E16),E29*0.9)</f>
        <v>0</v>
      </c>
      <c r="F90" s="49">
        <f>IF((F10*1.1-F16)&gt;0,F25/(F10*1.1-F16),F29*0.9)</f>
        <v>0</v>
      </c>
    </row>
    <row r="91" spans="1:6" ht="16">
      <c r="A91" s="44" t="s">
        <v>157</v>
      </c>
      <c r="B91" s="49">
        <f>B29-B90</f>
        <v>0</v>
      </c>
      <c r="C91" s="49">
        <f>C29-C90</f>
        <v>0</v>
      </c>
      <c r="D91" s="49">
        <f>D29-D90</f>
        <v>0</v>
      </c>
      <c r="E91" s="49">
        <f>E29-E90</f>
        <v>0</v>
      </c>
      <c r="F91" s="49">
        <f>F29-F90</f>
        <v>0</v>
      </c>
    </row>
    <row r="92" spans="1:6" ht="16">
      <c r="A92" s="12"/>
      <c r="B92" s="12"/>
      <c r="C92" s="12"/>
      <c r="D92" s="12"/>
      <c r="E92" s="12"/>
      <c r="F92" s="12"/>
    </row>
    <row r="93" spans="1:6" ht="16">
      <c r="A93" s="44" t="s">
        <v>160</v>
      </c>
      <c r="B93" s="49">
        <f>IF((B10*0.9-B16)&gt;0,B25/(B10*0.9-B16),B29*1.1)</f>
        <v>0</v>
      </c>
      <c r="C93" s="49">
        <f>IF((C10*0.9-C16)&gt;0,C25/(C10*0.9-C16),C29*1.1)</f>
        <v>0</v>
      </c>
      <c r="D93" s="49">
        <f>IF((D10*0.9-D16)&gt;0,D25/(D10*0.9-D16),D29*1.1)</f>
        <v>0</v>
      </c>
      <c r="E93" s="49">
        <f>IF((E10*0.9-D16)&gt;0,E25/(E10*0.9-E16),E29*1.1)</f>
        <v>0</v>
      </c>
      <c r="F93" s="49">
        <f>IF((F10*0.9-F16)&gt;0,F25/(F10*0.9-F16),F29*1.1)</f>
        <v>0</v>
      </c>
    </row>
    <row r="94" spans="1:6" ht="16">
      <c r="A94" s="44" t="s">
        <v>155</v>
      </c>
      <c r="B94" s="49">
        <f>B93-B29</f>
        <v>0</v>
      </c>
      <c r="C94" s="49">
        <f>C93-C29</f>
        <v>0</v>
      </c>
      <c r="D94" s="49">
        <f>D93-D29</f>
        <v>0</v>
      </c>
      <c r="E94" s="49">
        <f>E93-E29</f>
        <v>0</v>
      </c>
      <c r="F94" s="49">
        <f>F93-F29</f>
        <v>0</v>
      </c>
    </row>
    <row r="95" spans="1:6" ht="16">
      <c r="A95" s="12"/>
      <c r="B95" s="12"/>
      <c r="C95" s="12"/>
      <c r="D95" s="12"/>
      <c r="E95" s="12"/>
      <c r="F95" s="12"/>
    </row>
    <row r="96" spans="1:6" ht="16">
      <c r="A96" s="46" t="s">
        <v>161</v>
      </c>
      <c r="B96" s="12"/>
      <c r="C96" s="12"/>
      <c r="D96" s="12"/>
      <c r="E96" s="12"/>
      <c r="F96" s="12"/>
    </row>
    <row r="98" spans="1:6" ht="16">
      <c r="A98" s="45" t="s">
        <v>162</v>
      </c>
      <c r="B98" s="45" t="s">
        <v>15</v>
      </c>
      <c r="C98" s="45" t="s">
        <v>16</v>
      </c>
      <c r="D98" s="45" t="s">
        <v>17</v>
      </c>
      <c r="E98" s="45" t="s">
        <v>18</v>
      </c>
      <c r="F98" s="45" t="s">
        <v>19</v>
      </c>
    </row>
    <row r="99" spans="1:6" ht="16">
      <c r="A99" s="12" t="s">
        <v>163</v>
      </c>
      <c r="B99" s="12" t="str">
        <f t="shared" ref="B99:F100" si="0">B75</f>
        <v>Profitable</v>
      </c>
      <c r="C99" s="12" t="str">
        <f t="shared" si="0"/>
        <v>Profitable</v>
      </c>
      <c r="D99" s="12" t="str">
        <f t="shared" si="0"/>
        <v>Profitable</v>
      </c>
      <c r="E99" s="12" t="str">
        <f t="shared" si="0"/>
        <v>Profitable</v>
      </c>
      <c r="F99" s="12" t="str">
        <f t="shared" si="0"/>
        <v>Profitable</v>
      </c>
    </row>
    <row r="100" spans="1:6" ht="16">
      <c r="A100" s="12" t="s">
        <v>164</v>
      </c>
      <c r="B100" s="12" t="str">
        <f t="shared" si="0"/>
        <v>Cash Positive</v>
      </c>
      <c r="C100" s="12" t="str">
        <f t="shared" si="0"/>
        <v>Cash Positive</v>
      </c>
      <c r="D100" s="12" t="str">
        <f t="shared" si="0"/>
        <v>Cash Positive</v>
      </c>
      <c r="E100" s="12" t="str">
        <f t="shared" si="0"/>
        <v>Cash Positive</v>
      </c>
      <c r="F100" s="12" t="str">
        <f t="shared" si="0"/>
        <v>Cash Positive</v>
      </c>
    </row>
    <row r="101" spans="1:6" ht="16">
      <c r="A101" s="12" t="s">
        <v>165</v>
      </c>
      <c r="B101" s="12" t="str">
        <f>B78</f>
        <v>Cumulative Profit</v>
      </c>
      <c r="C101" s="12" t="str">
        <f>C78</f>
        <v>Cumulative Profit</v>
      </c>
      <c r="D101" s="12" t="str">
        <f>D78</f>
        <v>Cumulative Profit</v>
      </c>
      <c r="E101" s="12" t="str">
        <f>E78</f>
        <v>Cumulative Profit</v>
      </c>
      <c r="F101" s="12" t="str">
        <f>F78</f>
        <v>Cumulative Profit</v>
      </c>
    </row>
    <row r="102" spans="1:6" ht="16">
      <c r="A102" s="12"/>
      <c r="B102" s="12"/>
      <c r="C102" s="12"/>
      <c r="D102" s="12"/>
      <c r="E102" s="12"/>
      <c r="F102" s="12"/>
    </row>
    <row r="103" spans="1:6" ht="16">
      <c r="A103" s="45" t="s">
        <v>166</v>
      </c>
      <c r="B103" s="12"/>
      <c r="C103" s="12"/>
      <c r="D103" s="12"/>
      <c r="E103" s="12"/>
      <c r="F103" s="12"/>
    </row>
    <row r="104" spans="1:6" ht="16">
      <c r="A104" s="12" t="s">
        <v>167</v>
      </c>
      <c r="B104" s="49">
        <f t="shared" ref="B104:F105" si="1">B29</f>
        <v>0</v>
      </c>
      <c r="C104" s="49">
        <f t="shared" si="1"/>
        <v>0</v>
      </c>
      <c r="D104" s="49">
        <f t="shared" si="1"/>
        <v>0</v>
      </c>
      <c r="E104" s="49">
        <f t="shared" si="1"/>
        <v>0</v>
      </c>
      <c r="F104" s="49">
        <f t="shared" si="1"/>
        <v>0</v>
      </c>
    </row>
    <row r="105" spans="1:6" ht="16">
      <c r="A105" s="12" t="s">
        <v>168</v>
      </c>
      <c r="B105" s="48">
        <f t="shared" si="1"/>
        <v>0</v>
      </c>
      <c r="C105" s="48">
        <f t="shared" si="1"/>
        <v>0</v>
      </c>
      <c r="D105" s="48">
        <f t="shared" si="1"/>
        <v>0</v>
      </c>
      <c r="E105" s="48">
        <f t="shared" si="1"/>
        <v>0</v>
      </c>
      <c r="F105" s="48">
        <f t="shared" si="1"/>
        <v>0</v>
      </c>
    </row>
    <row r="106" spans="1:6" ht="16">
      <c r="A106" s="12" t="s">
        <v>169</v>
      </c>
      <c r="B106" s="49">
        <f>B9</f>
        <v>3410.8956521739128</v>
      </c>
      <c r="C106" s="49">
        <f>C9</f>
        <v>3958.84406779661</v>
      </c>
      <c r="D106" s="49">
        <f>D9</f>
        <v>4535.6594594594599</v>
      </c>
      <c r="E106" s="49">
        <f>E9</f>
        <v>4924.1729729729732</v>
      </c>
      <c r="F106" s="49">
        <f>F9</f>
        <v>5480.7608108108107</v>
      </c>
    </row>
    <row r="107" spans="1:6" ht="16">
      <c r="A107" s="51" t="s">
        <v>170</v>
      </c>
      <c r="B107" s="49">
        <f>B29-B9</f>
        <v>-3410.8956521739128</v>
      </c>
      <c r="C107" s="49">
        <f>C29-C9</f>
        <v>-3958.84406779661</v>
      </c>
      <c r="D107" s="49">
        <f>D29-D9</f>
        <v>-4535.6594594594599</v>
      </c>
      <c r="E107" s="49">
        <f>E29-E9</f>
        <v>-4924.1729729729732</v>
      </c>
      <c r="F107" s="49">
        <f>F29-F9</f>
        <v>-5480.7608108108107</v>
      </c>
    </row>
    <row r="108" spans="1:6" ht="16">
      <c r="A108" s="12"/>
      <c r="B108" s="12"/>
      <c r="C108" s="12"/>
      <c r="D108" s="12"/>
      <c r="E108" s="12"/>
      <c r="F108" s="12"/>
    </row>
    <row r="109" spans="1:6" ht="16">
      <c r="A109" s="43" t="s">
        <v>116</v>
      </c>
      <c r="B109" s="12"/>
      <c r="C109" s="12"/>
      <c r="D109" s="12"/>
      <c r="E109" s="12"/>
      <c r="F109" s="12"/>
    </row>
    <row r="110" spans="1:6" ht="16">
      <c r="A110" s="12"/>
      <c r="B110" s="12"/>
      <c r="C110" s="12"/>
      <c r="D110" s="12"/>
      <c r="E110" s="12"/>
      <c r="F110" s="12"/>
    </row>
    <row r="111" spans="1:6" ht="16">
      <c r="A111" s="46" t="s">
        <v>171</v>
      </c>
      <c r="B111" s="12"/>
      <c r="C111" s="12"/>
      <c r="D111" s="12"/>
      <c r="E111" s="12"/>
      <c r="F111" s="12"/>
    </row>
    <row r="113" spans="1:1" ht="16">
      <c r="A113" s="42" t="s">
        <v>172</v>
      </c>
    </row>
    <row r="114" spans="1:1" ht="16">
      <c r="A114" s="44" t="s">
        <v>173</v>
      </c>
    </row>
    <row r="115" spans="1:1" ht="16">
      <c r="A115" s="44" t="s">
        <v>174</v>
      </c>
    </row>
    <row r="116" spans="1:1" ht="16">
      <c r="A116" s="44" t="s">
        <v>175</v>
      </c>
    </row>
    <row r="117" spans="1:1" ht="16">
      <c r="A117" s="12"/>
    </row>
    <row r="118" spans="1:1" ht="16">
      <c r="A118" s="44" t="s">
        <v>386</v>
      </c>
    </row>
    <row r="119" spans="1:1" ht="16">
      <c r="A119" s="52" t="s">
        <v>396</v>
      </c>
    </row>
    <row r="120" spans="1:1" ht="16">
      <c r="A120" s="44" t="s">
        <v>176</v>
      </c>
    </row>
    <row r="121" spans="1:1" ht="16">
      <c r="A121" s="44" t="s">
        <v>177</v>
      </c>
    </row>
    <row r="122" spans="1:1" ht="16">
      <c r="A122" s="44" t="s">
        <v>178</v>
      </c>
    </row>
    <row r="123" spans="1:1" ht="16">
      <c r="A123" s="44" t="s">
        <v>179</v>
      </c>
    </row>
    <row r="124" spans="1:1" ht="16">
      <c r="A124" s="12"/>
    </row>
    <row r="125" spans="1:1" ht="16">
      <c r="A125" s="42" t="s">
        <v>387</v>
      </c>
    </row>
    <row r="126" spans="1:1" ht="16">
      <c r="A126" s="44" t="s">
        <v>180</v>
      </c>
    </row>
    <row r="127" spans="1:1" ht="16">
      <c r="A127" s="44" t="s">
        <v>181</v>
      </c>
    </row>
    <row r="128" spans="1:1" ht="16">
      <c r="A128" s="44" t="s">
        <v>182</v>
      </c>
    </row>
    <row r="129" spans="1:1" ht="16">
      <c r="A129" s="44" t="s">
        <v>183</v>
      </c>
    </row>
    <row r="130" spans="1:1" ht="16">
      <c r="A130" s="44" t="s">
        <v>184</v>
      </c>
    </row>
    <row r="131" spans="1:1" ht="16">
      <c r="A131" s="44" t="s">
        <v>185</v>
      </c>
    </row>
    <row r="132" spans="1:1" ht="16">
      <c r="A132" s="12"/>
    </row>
    <row r="133" spans="1:1" ht="16">
      <c r="A133" s="44" t="s">
        <v>186</v>
      </c>
    </row>
    <row r="134" spans="1:1" ht="16">
      <c r="A134" s="44" t="s">
        <v>187</v>
      </c>
    </row>
    <row r="135" spans="1:1" ht="16">
      <c r="A135" s="44" t="s">
        <v>188</v>
      </c>
    </row>
    <row r="136" spans="1:1" ht="16">
      <c r="A136" s="52" t="s">
        <v>391</v>
      </c>
    </row>
    <row r="137" spans="1:1" ht="16">
      <c r="A137" s="44" t="s">
        <v>189</v>
      </c>
    </row>
    <row r="138" spans="1:1" ht="16">
      <c r="A138" s="12"/>
    </row>
    <row r="139" spans="1:1" ht="16">
      <c r="A139" s="46" t="s">
        <v>128</v>
      </c>
    </row>
    <row r="140" spans="1:1" ht="16">
      <c r="A140" s="12"/>
    </row>
    <row r="141" spans="1:1" ht="16">
      <c r="A141" s="42" t="s">
        <v>190</v>
      </c>
    </row>
    <row r="142" spans="1:1" ht="16">
      <c r="A142" s="44" t="s">
        <v>191</v>
      </c>
    </row>
    <row r="143" spans="1:1" ht="16">
      <c r="A143" s="44" t="s">
        <v>192</v>
      </c>
    </row>
    <row r="144" spans="1:1" ht="16">
      <c r="A144" s="52" t="s">
        <v>392</v>
      </c>
    </row>
    <row r="145" spans="1:1" ht="16">
      <c r="A145" s="44" t="e">
        <f>- API costs: Polling data, FEC filings, voter demographics, news monitoring APIs</f>
        <v>#NAME?</v>
      </c>
    </row>
    <row r="146" spans="1:1" ht="16">
      <c r="A146" s="44" t="s">
        <v>193</v>
      </c>
    </row>
    <row r="147" spans="1:1" ht="16">
      <c r="A147" s="44" t="s">
        <v>194</v>
      </c>
    </row>
    <row r="148" spans="1:1" ht="16">
      <c r="A148" s="12"/>
    </row>
    <row r="149" spans="1:1" ht="16">
      <c r="A149" s="44" t="s">
        <v>195</v>
      </c>
    </row>
    <row r="150" spans="1:1" ht="16">
      <c r="A150" s="44" t="s">
        <v>196</v>
      </c>
    </row>
    <row r="151" spans="1:1" ht="16">
      <c r="A151" s="44" t="s">
        <v>197</v>
      </c>
    </row>
    <row r="152" spans="1:1" ht="16">
      <c r="A152" s="44" t="s">
        <v>198</v>
      </c>
    </row>
    <row r="153" spans="1:1" ht="16">
      <c r="A153" s="44" t="s">
        <v>199</v>
      </c>
    </row>
    <row r="154" spans="1:1" ht="16">
      <c r="A154" s="12"/>
    </row>
    <row r="155" spans="1:1" ht="16">
      <c r="A155" s="44" t="s">
        <v>200</v>
      </c>
    </row>
    <row r="156" spans="1:1" ht="16">
      <c r="A156" s="44" t="s">
        <v>201</v>
      </c>
    </row>
    <row r="157" spans="1:1" ht="16">
      <c r="A157" s="44" t="s">
        <v>202</v>
      </c>
    </row>
    <row r="158" spans="1:1" ht="16">
      <c r="A158" s="44" t="s">
        <v>203</v>
      </c>
    </row>
    <row r="159" spans="1:1" ht="16">
      <c r="A159" s="44" t="s">
        <v>204</v>
      </c>
    </row>
    <row r="161" spans="1:1" ht="16">
      <c r="A161" s="42" t="s">
        <v>205</v>
      </c>
    </row>
    <row r="162" spans="1:1" ht="16">
      <c r="A162" s="44" t="s">
        <v>206</v>
      </c>
    </row>
    <row r="163" spans="1:1" ht="16">
      <c r="A163" s="44" t="s">
        <v>207</v>
      </c>
    </row>
    <row r="164" spans="1:1" ht="16">
      <c r="A164" s="12"/>
    </row>
    <row r="165" spans="1:1" ht="16">
      <c r="A165" s="44" t="s">
        <v>208</v>
      </c>
    </row>
    <row r="166" spans="1:1" ht="16">
      <c r="A166" s="44" t="s">
        <v>209</v>
      </c>
    </row>
    <row r="167" spans="1:1" ht="16">
      <c r="A167" s="44" t="s">
        <v>210</v>
      </c>
    </row>
    <row r="168" spans="1:1" ht="16">
      <c r="A168" s="44" t="s">
        <v>211</v>
      </c>
    </row>
    <row r="169" spans="1:1" ht="16">
      <c r="A169" s="44" t="s">
        <v>212</v>
      </c>
    </row>
    <row r="170" spans="1:1" ht="16">
      <c r="A170" s="12"/>
    </row>
    <row r="171" spans="1:1" ht="16">
      <c r="A171" s="44" t="s">
        <v>213</v>
      </c>
    </row>
    <row r="172" spans="1:1" ht="16">
      <c r="A172" s="52" t="s">
        <v>398</v>
      </c>
    </row>
    <row r="173" spans="1:1" ht="16">
      <c r="A173" s="44" t="s">
        <v>214</v>
      </c>
    </row>
    <row r="174" spans="1:1" ht="16">
      <c r="A174" s="44" t="s">
        <v>215</v>
      </c>
    </row>
    <row r="175" spans="1:1" ht="16">
      <c r="A175" s="44" t="e" cm="1">
        <f t="array" ref="A175">- Technology: multi-agent AI pipeline, Election strategy training data</f>
        <v>#NAME?</v>
      </c>
    </row>
    <row r="177" spans="1:1" ht="16">
      <c r="A177" s="44" t="s">
        <v>216</v>
      </c>
    </row>
    <row r="178" spans="1:1" ht="16">
      <c r="A178" s="44" t="s">
        <v>217</v>
      </c>
    </row>
    <row r="179" spans="1:1" ht="16">
      <c r="A179" s="44" t="s">
        <v>218</v>
      </c>
    </row>
    <row r="180" spans="1:1" ht="16">
      <c r="A180" s="44" t="s">
        <v>219</v>
      </c>
    </row>
    <row r="181" spans="1:1" ht="16">
      <c r="A181" s="12"/>
    </row>
    <row r="182" spans="1:1" ht="16">
      <c r="A182" s="42" t="s">
        <v>220</v>
      </c>
    </row>
    <row r="183" spans="1:1" ht="16">
      <c r="A183" s="44" t="s">
        <v>221</v>
      </c>
    </row>
    <row r="184" spans="1:1" ht="16">
      <c r="A184" s="44" t="s">
        <v>222</v>
      </c>
    </row>
    <row r="185" spans="1:1" ht="16">
      <c r="A185" s="12"/>
    </row>
    <row r="186" spans="1:1" ht="16">
      <c r="A186" s="44" t="s">
        <v>223</v>
      </c>
    </row>
    <row r="187" spans="1:1" ht="16">
      <c r="A187" s="44" t="s">
        <v>224</v>
      </c>
    </row>
    <row r="188" spans="1:1" ht="16">
      <c r="A188" s="44" t="s">
        <v>225</v>
      </c>
    </row>
    <row r="189" spans="1:1" ht="16">
      <c r="A189" s="44" t="s">
        <v>226</v>
      </c>
    </row>
    <row r="190" spans="1:1" ht="16">
      <c r="A190" s="44" t="s">
        <v>227</v>
      </c>
    </row>
    <row r="191" spans="1:1" ht="16">
      <c r="A191" s="12"/>
    </row>
    <row r="192" spans="1:1" ht="16">
      <c r="A192" s="44" t="s">
        <v>228</v>
      </c>
    </row>
    <row r="193" spans="1:1" ht="16">
      <c r="A193" s="44" t="s">
        <v>229</v>
      </c>
    </row>
    <row r="194" spans="1:1" ht="16">
      <c r="A194" s="44" t="s">
        <v>230</v>
      </c>
    </row>
    <row r="195" spans="1:1" ht="16">
      <c r="A195" s="44" t="s">
        <v>231</v>
      </c>
    </row>
    <row r="196" spans="1:1" ht="16">
      <c r="A196" s="44" t="s">
        <v>232</v>
      </c>
    </row>
    <row r="197" spans="1:1" ht="16">
      <c r="A197" s="12"/>
    </row>
    <row r="198" spans="1:1" ht="16">
      <c r="A198" s="46" t="s">
        <v>129</v>
      </c>
    </row>
    <row r="199" spans="1:1" ht="16">
      <c r="A199" s="12"/>
    </row>
    <row r="200" spans="1:1" ht="16">
      <c r="A200" s="42" t="s">
        <v>233</v>
      </c>
    </row>
    <row r="201" spans="1:1" ht="16">
      <c r="A201" s="44" t="s">
        <v>234</v>
      </c>
    </row>
    <row r="202" spans="1:1" ht="16">
      <c r="A202" s="44" t="s">
        <v>235</v>
      </c>
    </row>
    <row r="203" spans="1:1" ht="16">
      <c r="A203" s="44" t="s">
        <v>236</v>
      </c>
    </row>
    <row r="204" spans="1:1" ht="16">
      <c r="A204" s="44" t="s">
        <v>237</v>
      </c>
    </row>
    <row r="205" spans="1:1" ht="16">
      <c r="A205" s="44" t="s">
        <v>238</v>
      </c>
    </row>
    <row r="206" spans="1:1" ht="16">
      <c r="A206" s="12"/>
    </row>
    <row r="207" spans="1:1" ht="16">
      <c r="A207" s="44" t="s">
        <v>239</v>
      </c>
    </row>
    <row r="208" spans="1:1" ht="16">
      <c r="A208" s="44" t="s">
        <v>388</v>
      </c>
    </row>
    <row r="209" spans="1:1" ht="16">
      <c r="A209" s="44" t="s">
        <v>240</v>
      </c>
    </row>
    <row r="210" spans="1:1" ht="16">
      <c r="A210" s="44" t="s">
        <v>241</v>
      </c>
    </row>
    <row r="211" spans="1:1" ht="16">
      <c r="A211" s="44" t="s">
        <v>242</v>
      </c>
    </row>
    <row r="212" spans="1:1" ht="16">
      <c r="A212" s="12"/>
    </row>
    <row r="213" spans="1:1" ht="16">
      <c r="A213" s="42" t="s">
        <v>243</v>
      </c>
    </row>
    <row r="214" spans="1:1" ht="16">
      <c r="A214" s="44" t="s">
        <v>244</v>
      </c>
    </row>
    <row r="215" spans="1:1" ht="16">
      <c r="A215" s="44" t="s">
        <v>245</v>
      </c>
    </row>
    <row r="216" spans="1:1" ht="16">
      <c r="A216" s="44" t="s">
        <v>246</v>
      </c>
    </row>
    <row r="217" spans="1:1" ht="16">
      <c r="A217" s="44" t="s">
        <v>247</v>
      </c>
    </row>
    <row r="218" spans="1:1" ht="16">
      <c r="A218" s="12"/>
    </row>
    <row r="219" spans="1:1" ht="16">
      <c r="A219" s="44" t="s">
        <v>248</v>
      </c>
    </row>
    <row r="220" spans="1:1" ht="16">
      <c r="A220" s="44" t="s">
        <v>249</v>
      </c>
    </row>
    <row r="221" spans="1:1" ht="16">
      <c r="A221" s="44" t="s">
        <v>250</v>
      </c>
    </row>
    <row r="222" spans="1:1" ht="16">
      <c r="A222" s="44" t="s">
        <v>251</v>
      </c>
    </row>
    <row r="223" spans="1:1" ht="16">
      <c r="A223" s="44" t="s">
        <v>252</v>
      </c>
    </row>
    <row r="225" spans="1:1" ht="16">
      <c r="A225" s="42" t="s">
        <v>253</v>
      </c>
    </row>
    <row r="226" spans="1:1" ht="16">
      <c r="A226" s="44" t="s">
        <v>254</v>
      </c>
    </row>
    <row r="227" spans="1:1" ht="16">
      <c r="A227" s="44" t="s">
        <v>255</v>
      </c>
    </row>
    <row r="228" spans="1:1" ht="16">
      <c r="A228" s="12"/>
    </row>
    <row r="229" spans="1:1" ht="16">
      <c r="A229" s="44" t="s">
        <v>389</v>
      </c>
    </row>
    <row r="230" spans="1:1" ht="16">
      <c r="A230" s="44" t="s">
        <v>256</v>
      </c>
    </row>
    <row r="231" spans="1:1" ht="16">
      <c r="A231" s="44" t="s">
        <v>257</v>
      </c>
    </row>
    <row r="232" spans="1:1" ht="16">
      <c r="A232" s="44" t="s">
        <v>258</v>
      </c>
    </row>
    <row r="233" spans="1:1" ht="16">
      <c r="A233" s="44" t="s">
        <v>259</v>
      </c>
    </row>
    <row r="234" spans="1:1" ht="16">
      <c r="A234" s="12"/>
    </row>
    <row r="235" spans="1:1" ht="16">
      <c r="A235" s="46" t="s">
        <v>260</v>
      </c>
    </row>
    <row r="236" spans="1:1" ht="16">
      <c r="A236" s="12"/>
    </row>
    <row r="237" spans="1:1" ht="16">
      <c r="A237" s="42" t="s">
        <v>261</v>
      </c>
    </row>
    <row r="238" spans="1:1" ht="16">
      <c r="A238" s="44" t="s">
        <v>262</v>
      </c>
    </row>
    <row r="239" spans="1:1" ht="16">
      <c r="A239" s="44" t="s">
        <v>263</v>
      </c>
    </row>
    <row r="241" spans="1:1" ht="16">
      <c r="A241" s="44" t="s">
        <v>390</v>
      </c>
    </row>
    <row r="242" spans="1:1" ht="16">
      <c r="A242" s="44" t="s">
        <v>264</v>
      </c>
    </row>
    <row r="243" spans="1:1" ht="16">
      <c r="A243" s="44" t="s">
        <v>265</v>
      </c>
    </row>
    <row r="244" spans="1:1" ht="16">
      <c r="A244" s="44" t="s">
        <v>266</v>
      </c>
    </row>
    <row r="245" spans="1:1" ht="16">
      <c r="A245" s="44" t="s">
        <v>267</v>
      </c>
    </row>
    <row r="246" spans="1:1" ht="16">
      <c r="A246" s="12"/>
    </row>
    <row r="247" spans="1:1" ht="16">
      <c r="A247" s="44" t="s">
        <v>268</v>
      </c>
    </row>
    <row r="248" spans="1:1" ht="16">
      <c r="A248" s="44" t="s">
        <v>269</v>
      </c>
    </row>
    <row r="249" spans="1:1" ht="16">
      <c r="A249" s="44" t="s">
        <v>270</v>
      </c>
    </row>
    <row r="250" spans="1:1" ht="16">
      <c r="A250" s="44" t="s">
        <v>271</v>
      </c>
    </row>
    <row r="251" spans="1:1" ht="16">
      <c r="A251" s="44" t="s">
        <v>272</v>
      </c>
    </row>
    <row r="252" spans="1:1" ht="16">
      <c r="A252" s="12"/>
    </row>
    <row r="253" spans="1:1" ht="16">
      <c r="A253" s="46" t="s">
        <v>273</v>
      </c>
    </row>
    <row r="254" spans="1:1" ht="16">
      <c r="A254" s="12"/>
    </row>
    <row r="255" spans="1:1" ht="16">
      <c r="A255" s="42" t="s">
        <v>274</v>
      </c>
    </row>
    <row r="256" spans="1:1" ht="16">
      <c r="A256" s="44" t="s">
        <v>275</v>
      </c>
    </row>
    <row r="258" spans="1:1" ht="16">
      <c r="A258" s="44" t="s">
        <v>276</v>
      </c>
    </row>
    <row r="259" spans="1:1" ht="16">
      <c r="A259" s="44" t="s">
        <v>277</v>
      </c>
    </row>
    <row r="260" spans="1:1" ht="16">
      <c r="A260" s="44" t="s">
        <v>278</v>
      </c>
    </row>
    <row r="261" spans="1:1" ht="16">
      <c r="A261" s="44" t="s">
        <v>279</v>
      </c>
    </row>
    <row r="262" spans="1:1" ht="16">
      <c r="A262" s="44" t="s">
        <v>280</v>
      </c>
    </row>
    <row r="263" spans="1:1" ht="16">
      <c r="A263" s="12"/>
    </row>
    <row r="264" spans="1:1" ht="16">
      <c r="A264" s="44" t="s">
        <v>281</v>
      </c>
    </row>
    <row r="265" spans="1:1" ht="16">
      <c r="A265" s="44" t="s">
        <v>282</v>
      </c>
    </row>
    <row r="266" spans="1:1" ht="16">
      <c r="A266" s="44" t="s">
        <v>283</v>
      </c>
    </row>
    <row r="267" spans="1:1" ht="16">
      <c r="A267" s="44" t="s">
        <v>284</v>
      </c>
    </row>
    <row r="268" spans="1:1" ht="16">
      <c r="A268" s="12"/>
    </row>
    <row r="269" spans="1:1" ht="16">
      <c r="A269" s="44" t="s">
        <v>285</v>
      </c>
    </row>
    <row r="270" spans="1:1" ht="16">
      <c r="A270" s="44" t="s">
        <v>286</v>
      </c>
    </row>
    <row r="271" spans="1:1" ht="16">
      <c r="A271" s="44" t="s">
        <v>287</v>
      </c>
    </row>
    <row r="272" spans="1:1" ht="16">
      <c r="A272" s="44" t="s">
        <v>288</v>
      </c>
    </row>
    <row r="274" spans="1:1" ht="16">
      <c r="A274" s="42" t="s">
        <v>289</v>
      </c>
    </row>
    <row r="275" spans="1:1" ht="16">
      <c r="A275" s="44" t="s">
        <v>290</v>
      </c>
    </row>
    <row r="276" spans="1:1" ht="16">
      <c r="A276" s="44" t="s">
        <v>291</v>
      </c>
    </row>
    <row r="277" spans="1:1" ht="16">
      <c r="A277" s="52" t="s">
        <v>393</v>
      </c>
    </row>
    <row r="278" spans="1:1" ht="16">
      <c r="A278" s="44" t="s">
        <v>292</v>
      </c>
    </row>
    <row r="279" spans="1:1" ht="16">
      <c r="A279" s="44" t="s">
        <v>293</v>
      </c>
    </row>
    <row r="280" spans="1:1" ht="16">
      <c r="A280" s="12"/>
    </row>
    <row r="281" spans="1:1" ht="16">
      <c r="A281" s="44" t="s">
        <v>294</v>
      </c>
    </row>
    <row r="282" spans="1:1" ht="16">
      <c r="A282" s="44" t="s">
        <v>295</v>
      </c>
    </row>
    <row r="283" spans="1:1" ht="16">
      <c r="A283" s="44" t="s">
        <v>296</v>
      </c>
    </row>
    <row r="284" spans="1:1" ht="16">
      <c r="A284" s="44" t="s">
        <v>297</v>
      </c>
    </row>
    <row r="285" spans="1:1" ht="16">
      <c r="A285" s="44" t="s">
        <v>298</v>
      </c>
    </row>
    <row r="286" spans="1:1" ht="16">
      <c r="A286" s="12"/>
    </row>
    <row r="287" spans="1:1" ht="16">
      <c r="A287" s="44" t="s">
        <v>299</v>
      </c>
    </row>
    <row r="288" spans="1:1" ht="16">
      <c r="A288" s="44" t="s">
        <v>300</v>
      </c>
    </row>
    <row r="289" spans="1:1" ht="16">
      <c r="A289" s="44" t="s">
        <v>301</v>
      </c>
    </row>
    <row r="290" spans="1:1" ht="16">
      <c r="A290" s="44" t="s">
        <v>302</v>
      </c>
    </row>
    <row r="291" spans="1:1" ht="16">
      <c r="A291" s="44" t="s">
        <v>303</v>
      </c>
    </row>
    <row r="292" spans="1:1" ht="16">
      <c r="A292" s="12"/>
    </row>
    <row r="293" spans="1:1" ht="16">
      <c r="A293" s="46" t="s">
        <v>304</v>
      </c>
    </row>
    <row r="294" spans="1:1" ht="16">
      <c r="A294" s="12"/>
    </row>
    <row r="295" spans="1:1" ht="16">
      <c r="A295" s="42" t="s">
        <v>305</v>
      </c>
    </row>
    <row r="296" spans="1:1" ht="16">
      <c r="A296" s="44" t="s">
        <v>306</v>
      </c>
    </row>
    <row r="297" spans="1:1" ht="16">
      <c r="A297" s="44" t="s">
        <v>307</v>
      </c>
    </row>
    <row r="298" spans="1:1" ht="16">
      <c r="A298" s="44" t="s">
        <v>308</v>
      </c>
    </row>
    <row r="299" spans="1:1" ht="16">
      <c r="A299" s="44" t="s">
        <v>309</v>
      </c>
    </row>
    <row r="300" spans="1:1" ht="16">
      <c r="A300" s="12"/>
    </row>
    <row r="301" spans="1:1" ht="16">
      <c r="A301" s="44" t="s">
        <v>310</v>
      </c>
    </row>
    <row r="302" spans="1:1" ht="16">
      <c r="A302" s="44" t="s">
        <v>311</v>
      </c>
    </row>
    <row r="303" spans="1:1" ht="16">
      <c r="A303" s="44" t="s">
        <v>312</v>
      </c>
    </row>
    <row r="304" spans="1:1" ht="16">
      <c r="A304" s="44" t="s">
        <v>313</v>
      </c>
    </row>
    <row r="306" spans="1:1" ht="16">
      <c r="A306" s="42" t="s">
        <v>314</v>
      </c>
    </row>
    <row r="307" spans="1:1" ht="16">
      <c r="A307" s="44" t="s">
        <v>315</v>
      </c>
    </row>
    <row r="308" spans="1:1" ht="16">
      <c r="A308" s="44" t="s">
        <v>316</v>
      </c>
    </row>
    <row r="309" spans="1:1" ht="16">
      <c r="A309" s="44" t="s">
        <v>317</v>
      </c>
    </row>
    <row r="310" spans="1:1" ht="16">
      <c r="A310" s="52" t="s">
        <v>397</v>
      </c>
    </row>
    <row r="311" spans="1:1" ht="16">
      <c r="A311" s="44" t="s">
        <v>318</v>
      </c>
    </row>
    <row r="312" spans="1:1" ht="16">
      <c r="A312" s="12"/>
    </row>
    <row r="313" spans="1:1" ht="16">
      <c r="A313" s="44" t="s">
        <v>319</v>
      </c>
    </row>
    <row r="314" spans="1:1" ht="16">
      <c r="A314" s="44" t="s">
        <v>320</v>
      </c>
    </row>
    <row r="315" spans="1:1" ht="16">
      <c r="A315" s="44" t="s">
        <v>321</v>
      </c>
    </row>
    <row r="316" spans="1:1" ht="16">
      <c r="A316" s="44" t="s">
        <v>322</v>
      </c>
    </row>
    <row r="317" spans="1:1" ht="16">
      <c r="A317" s="12"/>
    </row>
    <row r="318" spans="1:1" ht="16">
      <c r="A318" s="46" t="s">
        <v>323</v>
      </c>
    </row>
    <row r="319" spans="1:1" ht="16">
      <c r="A319" s="12"/>
    </row>
    <row r="320" spans="1:1" ht="16">
      <c r="A320" s="42" t="s">
        <v>324</v>
      </c>
    </row>
    <row r="321" spans="1:1" ht="16">
      <c r="A321" s="44" t="s">
        <v>325</v>
      </c>
    </row>
    <row r="322" spans="1:1" ht="16">
      <c r="A322" s="44" t="s">
        <v>117</v>
      </c>
    </row>
    <row r="323" spans="1:1" ht="16">
      <c r="A323" s="44" t="e" cm="1">
        <f t="array" ref="A323">- campaigns underserved by current tools = massive whitespace</f>
        <v>#NAME?</v>
      </c>
    </row>
    <row r="324" spans="1:1" ht="16">
      <c r="A324" s="44" t="s">
        <v>326</v>
      </c>
    </row>
    <row r="325" spans="1:1" ht="16">
      <c r="A325" s="12"/>
    </row>
    <row r="326" spans="1:1" ht="16">
      <c r="A326" s="44" t="s">
        <v>327</v>
      </c>
    </row>
    <row r="327" spans="1:1" ht="16">
      <c r="A327" s="44" t="s">
        <v>328</v>
      </c>
    </row>
    <row r="328" spans="1:1" ht="16">
      <c r="A328" s="44" t="s">
        <v>329</v>
      </c>
    </row>
    <row r="329" spans="1:1" ht="16">
      <c r="A329" s="44" t="s">
        <v>330</v>
      </c>
    </row>
    <row r="330" spans="1:1" ht="16">
      <c r="A330" s="12"/>
    </row>
    <row r="331" spans="1:1" ht="16">
      <c r="A331" s="44" t="s">
        <v>331</v>
      </c>
    </row>
    <row r="332" spans="1:1" ht="16">
      <c r="A332" s="44" t="s">
        <v>385</v>
      </c>
    </row>
    <row r="333" spans="1:1" ht="16">
      <c r="A333" s="44" t="s">
        <v>332</v>
      </c>
    </row>
    <row r="334" spans="1:1" ht="16">
      <c r="A334" s="44" t="e" cm="1">
        <f t="array" ref="A334">- Network effects: every campaign interaction improves AI for all users</f>
        <v>#NAME?</v>
      </c>
    </row>
    <row r="335" spans="1:1" ht="16">
      <c r="A335" s="44" t="s">
        <v>333</v>
      </c>
    </row>
    <row r="337" spans="1:1" ht="16">
      <c r="A337" s="42" t="s">
        <v>334</v>
      </c>
    </row>
    <row r="338" spans="1:1" ht="16">
      <c r="A338" s="44" t="s">
        <v>335</v>
      </c>
    </row>
    <row r="339" spans="1:1" ht="16">
      <c r="A339" s="52" t="s">
        <v>394</v>
      </c>
    </row>
    <row r="340" spans="1:1" ht="16">
      <c r="A340" s="12"/>
    </row>
    <row r="341" spans="1:1" ht="16">
      <c r="A341" s="44" t="s">
        <v>336</v>
      </c>
    </row>
    <row r="342" spans="1:1" ht="16">
      <c r="A342" s="44" t="s">
        <v>337</v>
      </c>
    </row>
    <row r="343" spans="1:1" ht="16">
      <c r="A343" s="44" t="s">
        <v>338</v>
      </c>
    </row>
    <row r="344" spans="1:1" ht="16">
      <c r="A344" s="44" t="s">
        <v>339</v>
      </c>
    </row>
    <row r="345" spans="1:1" ht="16">
      <c r="A345" s="12"/>
    </row>
    <row r="346" spans="1:1" ht="16">
      <c r="A346" s="44" t="s">
        <v>340</v>
      </c>
    </row>
    <row r="347" spans="1:1" ht="16">
      <c r="A347" s="52" t="s">
        <v>395</v>
      </c>
    </row>
    <row r="348" spans="1:1" ht="16">
      <c r="A348" s="12"/>
    </row>
    <row r="349" spans="1:1" ht="16">
      <c r="A349" s="46" t="s">
        <v>341</v>
      </c>
    </row>
    <row r="350" spans="1:1" ht="16">
      <c r="A350" s="12"/>
    </row>
    <row r="351" spans="1:1" ht="16">
      <c r="A351" s="12" t="s">
        <v>122</v>
      </c>
    </row>
    <row r="352" spans="1:1" ht="16">
      <c r="A352" s="12" t="s">
        <v>123</v>
      </c>
    </row>
    <row r="353" spans="1:1" ht="16">
      <c r="A353" s="12" t="s">
        <v>124</v>
      </c>
    </row>
    <row r="354" spans="1:1" ht="16">
      <c r="A354" s="12" t="s">
        <v>342</v>
      </c>
    </row>
    <row r="355" spans="1:1" ht="16">
      <c r="A355" s="12"/>
    </row>
    <row r="356" spans="1:1" ht="16">
      <c r="A356" s="44" t="s">
        <v>125</v>
      </c>
    </row>
    <row r="357" spans="1:1" ht="16">
      <c r="A357" s="44" t="s">
        <v>343</v>
      </c>
    </row>
    <row r="358" spans="1:1" ht="16">
      <c r="A358" s="44" t="s">
        <v>344</v>
      </c>
    </row>
    <row r="359" spans="1:1" ht="16">
      <c r="A359" s="44" t="s">
        <v>345</v>
      </c>
    </row>
    <row r="360" spans="1:1" ht="16">
      <c r="A360" s="44" t="s">
        <v>346</v>
      </c>
    </row>
    <row r="361" spans="1:1" ht="16">
      <c r="A361" s="44" t="s">
        <v>347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C562-52E0-4D2F-84F8-B5E0559AC9AE}">
  <sheetPr>
    <tabColor rgb="FFFFFF00"/>
  </sheetPr>
  <dimension ref="A1:F34"/>
  <sheetViews>
    <sheetView workbookViewId="0">
      <selection activeCell="C5" sqref="C5"/>
    </sheetView>
  </sheetViews>
  <sheetFormatPr defaultColWidth="8.81640625" defaultRowHeight="16.5"/>
  <cols>
    <col min="1" max="1" width="40" style="33" customWidth="1"/>
    <col min="2" max="8" width="20.54296875" style="33" customWidth="1"/>
    <col min="9" max="9" width="6" style="33" customWidth="1"/>
    <col min="10" max="11" width="8.81640625" style="33"/>
    <col min="12" max="12" width="9.26953125" style="33" bestFit="1" customWidth="1"/>
    <col min="13" max="16384" width="8.81640625" style="33"/>
  </cols>
  <sheetData>
    <row r="1" spans="1:6" s="36" customFormat="1" ht="35" customHeight="1">
      <c r="A1" s="197" t="s">
        <v>886</v>
      </c>
      <c r="B1" s="197"/>
      <c r="C1" s="197"/>
      <c r="D1" s="197"/>
      <c r="E1" s="197"/>
      <c r="F1" s="197"/>
    </row>
    <row r="2" spans="1:6" s="40" customFormat="1">
      <c r="A2"/>
      <c r="B2"/>
      <c r="C2"/>
      <c r="D2"/>
      <c r="E2"/>
      <c r="F2"/>
    </row>
    <row r="3" spans="1:6" ht="30.65" customHeight="1">
      <c r="A3" s="111" t="s">
        <v>348</v>
      </c>
      <c r="B3"/>
      <c r="C3"/>
      <c r="D3"/>
      <c r="E3"/>
      <c r="F3"/>
    </row>
    <row r="4" spans="1:6">
      <c r="A4" s="116" t="s">
        <v>887</v>
      </c>
      <c r="B4" s="116" t="s">
        <v>888</v>
      </c>
      <c r="C4" s="116" t="s">
        <v>12</v>
      </c>
      <c r="D4" s="116" t="s">
        <v>507</v>
      </c>
      <c r="E4" s="116" t="s">
        <v>889</v>
      </c>
      <c r="F4" s="116" t="s">
        <v>890</v>
      </c>
    </row>
    <row r="5" spans="1:6">
      <c r="A5" t="s">
        <v>924</v>
      </c>
      <c r="B5" s="120">
        <f>Assumptions!B103</f>
        <v>500000</v>
      </c>
      <c r="C5">
        <f>Assumptions!C103</f>
        <v>1</v>
      </c>
      <c r="D5">
        <f>Assumptions!D103</f>
        <v>1</v>
      </c>
      <c r="E5">
        <f>Assumptions!E103</f>
        <v>1</v>
      </c>
      <c r="F5" t="str">
        <f>Assumptions!F103</f>
        <v>N/A</v>
      </c>
    </row>
    <row r="6" spans="1:6">
      <c r="A6" t="s">
        <v>349</v>
      </c>
      <c r="B6" s="120">
        <f>Assumptions!B104</f>
        <v>3000000</v>
      </c>
      <c r="C6">
        <f>Assumptions!C104</f>
        <v>2</v>
      </c>
      <c r="D6">
        <f>Assumptions!D104</f>
        <v>1</v>
      </c>
      <c r="E6">
        <f>Assumptions!E104</f>
        <v>1</v>
      </c>
      <c r="F6" t="str">
        <f>Assumptions!F104</f>
        <v>N/A</v>
      </c>
    </row>
    <row r="7" spans="1:6">
      <c r="A7" t="s">
        <v>350</v>
      </c>
      <c r="B7" s="120">
        <f>Assumptions!B105</f>
        <v>15000000</v>
      </c>
      <c r="C7">
        <f>Assumptions!C105</f>
        <v>4</v>
      </c>
      <c r="D7">
        <f>Assumptions!D105</f>
        <v>1</v>
      </c>
      <c r="E7">
        <f>Assumptions!E105</f>
        <v>1</v>
      </c>
      <c r="F7" t="str">
        <f>Assumptions!F105</f>
        <v>N/A</v>
      </c>
    </row>
    <row r="8" spans="1:6">
      <c r="A8"/>
      <c r="B8"/>
      <c r="C8"/>
      <c r="D8"/>
      <c r="E8"/>
      <c r="F8"/>
    </row>
    <row r="9" spans="1:6">
      <c r="A9" s="111" t="s">
        <v>353</v>
      </c>
      <c r="B9"/>
      <c r="C9"/>
      <c r="D9"/>
      <c r="E9"/>
      <c r="F9"/>
    </row>
    <row r="10" spans="1:6">
      <c r="A10" s="116"/>
      <c r="B10" s="116" t="s">
        <v>924</v>
      </c>
      <c r="C10" s="116" t="s">
        <v>349</v>
      </c>
      <c r="D10" t="s">
        <v>350</v>
      </c>
      <c r="E10"/>
      <c r="F10"/>
    </row>
    <row r="11" spans="1:6">
      <c r="A11" t="s">
        <v>352</v>
      </c>
      <c r="B11" s="120">
        <f>'Yearly Summary'!B20</f>
        <v>334753</v>
      </c>
      <c r="C11" s="120">
        <f>'Yearly Summary'!C20</f>
        <v>890359</v>
      </c>
      <c r="D11">
        <f>'Yearly Summary'!E20</f>
        <v>4512776</v>
      </c>
      <c r="E11"/>
      <c r="F11"/>
    </row>
    <row r="12" spans="1:6">
      <c r="A12" t="s">
        <v>933</v>
      </c>
      <c r="B12" t="s">
        <v>64</v>
      </c>
      <c r="C12" t="s">
        <v>64</v>
      </c>
      <c r="D12" t="s">
        <v>64</v>
      </c>
      <c r="E12"/>
      <c r="F12"/>
    </row>
    <row r="13" spans="1:6">
      <c r="A13" t="s">
        <v>354</v>
      </c>
      <c r="B13" s="120">
        <f>Assumptions!G103</f>
        <v>6166667</v>
      </c>
      <c r="C13" s="120">
        <f>Assumptions!G104</f>
        <v>17000000</v>
      </c>
      <c r="D13">
        <f>Assumptions!G105</f>
        <v>60000000</v>
      </c>
      <c r="E13"/>
      <c r="F13"/>
    </row>
    <row r="14" spans="1:6">
      <c r="A14" t="s">
        <v>355</v>
      </c>
      <c r="B14" s="120">
        <f>B13+B5</f>
        <v>6666667</v>
      </c>
      <c r="C14" s="120">
        <f>C13+B6</f>
        <v>20000000</v>
      </c>
      <c r="D14" s="120">
        <f>D13+B7</f>
        <v>75000000</v>
      </c>
      <c r="E14"/>
      <c r="F14"/>
    </row>
    <row r="15" spans="1:6">
      <c r="A15" t="s">
        <v>891</v>
      </c>
      <c r="B15" s="119">
        <f>B5/B14</f>
        <v>7.4999996250000187E-2</v>
      </c>
      <c r="C15" s="119">
        <f>B6/C14</f>
        <v>0.15</v>
      </c>
      <c r="D15">
        <f>B7/D14</f>
        <v>0.2</v>
      </c>
      <c r="E15"/>
      <c r="F15"/>
    </row>
    <row r="17" spans="1:6">
      <c r="A17" s="111" t="s">
        <v>356</v>
      </c>
      <c r="B17"/>
      <c r="C17"/>
      <c r="D17"/>
      <c r="E17"/>
      <c r="F17"/>
    </row>
    <row r="18" spans="1:6">
      <c r="A18" s="116" t="s">
        <v>357</v>
      </c>
      <c r="B18" s="116" t="s">
        <v>892</v>
      </c>
      <c r="C18" s="116" t="s">
        <v>925</v>
      </c>
      <c r="D18" s="116" t="s">
        <v>893</v>
      </c>
      <c r="E18" s="116" t="s">
        <v>894</v>
      </c>
      <c r="F18"/>
    </row>
    <row r="19" spans="1:6">
      <c r="A19" t="s">
        <v>895</v>
      </c>
      <c r="B19" s="119">
        <v>0.6</v>
      </c>
      <c r="C19" s="119">
        <f>B19*(1-B15)</f>
        <v>0.5550000022499999</v>
      </c>
      <c r="D19" s="119">
        <f>C19*(1-C15)</f>
        <v>0.47175000191249988</v>
      </c>
      <c r="E19">
        <f>D19*(1-D15)</f>
        <v>0.37740000152999992</v>
      </c>
      <c r="F19"/>
    </row>
    <row r="20" spans="1:6">
      <c r="A20" t="s">
        <v>896</v>
      </c>
      <c r="B20" s="119">
        <v>0.15</v>
      </c>
      <c r="C20" s="119">
        <f>B20*(1-B15)</f>
        <v>0.13875000056249998</v>
      </c>
      <c r="D20" s="119">
        <f>C20*(1-C15)</f>
        <v>0.11793750047812497</v>
      </c>
      <c r="E20">
        <f>D20*(1-D15)</f>
        <v>9.4350000382499979E-2</v>
      </c>
      <c r="F20"/>
    </row>
    <row r="21" spans="1:6">
      <c r="A21" t="s">
        <v>897</v>
      </c>
      <c r="B21" s="119">
        <v>0.1</v>
      </c>
      <c r="C21" s="119">
        <f>B21*(1-B15)</f>
        <v>9.2500000374999988E-2</v>
      </c>
      <c r="D21" s="119">
        <f>C21*(1-C15)</f>
        <v>7.8625000318749985E-2</v>
      </c>
      <c r="E21">
        <f>D21*(1-D15)</f>
        <v>6.2900000254999991E-2</v>
      </c>
      <c r="F21"/>
    </row>
    <row r="22" spans="1:6">
      <c r="A22" t="s">
        <v>898</v>
      </c>
      <c r="B22" s="119">
        <v>0.15</v>
      </c>
      <c r="C22" s="119">
        <f>B22*(1-B15)</f>
        <v>0.13875000056249998</v>
      </c>
      <c r="D22" s="119">
        <f>C22*(1-C15)</f>
        <v>0.11793750047812497</v>
      </c>
      <c r="E22">
        <f>D22*(1-D15)</f>
        <v>9.4350000382499979E-2</v>
      </c>
      <c r="F22"/>
    </row>
    <row r="23" spans="1:6">
      <c r="A23" t="s">
        <v>358</v>
      </c>
      <c r="B23" s="119">
        <v>0</v>
      </c>
      <c r="C23" s="119">
        <f>B15</f>
        <v>7.4999996250000187E-2</v>
      </c>
      <c r="D23" s="119">
        <f>C23*(1-C15)</f>
        <v>6.3749996812500154E-2</v>
      </c>
      <c r="E23">
        <f>D23*(1-D15)</f>
        <v>5.0999997450000126E-2</v>
      </c>
      <c r="F23"/>
    </row>
    <row r="24" spans="1:6">
      <c r="A24" t="s">
        <v>359</v>
      </c>
      <c r="B24" s="119">
        <v>0</v>
      </c>
      <c r="C24" s="119">
        <v>0</v>
      </c>
      <c r="D24" s="119">
        <f>C15</f>
        <v>0.15</v>
      </c>
      <c r="E24">
        <f>D24*(1-D15)</f>
        <v>0.12</v>
      </c>
      <c r="F24"/>
    </row>
    <row r="25" spans="1:6">
      <c r="A25" t="s">
        <v>360</v>
      </c>
      <c r="B25" s="119">
        <v>0</v>
      </c>
      <c r="C25" s="119">
        <v>0</v>
      </c>
      <c r="D25" s="119">
        <v>0</v>
      </c>
      <c r="E25">
        <f>D15</f>
        <v>0.2</v>
      </c>
      <c r="F25"/>
    </row>
    <row r="26" spans="1:6">
      <c r="A26" s="1" t="s">
        <v>52</v>
      </c>
      <c r="B26" s="131">
        <f>SUM(B19:B25)</f>
        <v>1</v>
      </c>
      <c r="C26" s="131">
        <f>SUM(C19:C25)</f>
        <v>1</v>
      </c>
      <c r="D26" s="131">
        <f>SUM(D19:D25)</f>
        <v>1</v>
      </c>
      <c r="E26">
        <f>SUM(E19:E25)</f>
        <v>1</v>
      </c>
      <c r="F26"/>
    </row>
    <row r="27" spans="1:6">
      <c r="A27"/>
      <c r="B27"/>
      <c r="C27"/>
      <c r="D27"/>
      <c r="E27"/>
      <c r="F27"/>
    </row>
    <row r="28" spans="1:6">
      <c r="A28" s="111" t="s">
        <v>899</v>
      </c>
      <c r="B28"/>
      <c r="C28"/>
      <c r="D28"/>
      <c r="E28"/>
      <c r="F28"/>
    </row>
    <row r="29" spans="1:6">
      <c r="A29"/>
      <c r="B29" s="114">
        <v>2026</v>
      </c>
      <c r="C29" s="114">
        <v>2027</v>
      </c>
      <c r="D29" s="114">
        <v>2028</v>
      </c>
      <c r="E29" s="114">
        <v>2029</v>
      </c>
      <c r="F29" s="114">
        <v>2030</v>
      </c>
    </row>
    <row r="30" spans="1:6">
      <c r="A30" t="s">
        <v>361</v>
      </c>
      <c r="B30" s="120">
        <f>-'Cash Flow Statement'!B22/12</f>
        <v>19650.030391438351</v>
      </c>
      <c r="C30" s="120">
        <f>-'Cash Flow Statement'!C22/12</f>
        <v>71632.395016894981</v>
      </c>
      <c r="D30" s="120">
        <f>-'Cash Flow Statement'!D22/12</f>
        <v>75782.06936837906</v>
      </c>
      <c r="E30" s="120">
        <f>-'Cash Flow Statement'!E22/12</f>
        <v>41718.613428191769</v>
      </c>
      <c r="F30" s="120">
        <f>-'Cash Flow Statement'!F22/12</f>
        <v>-241280.10419012353</v>
      </c>
    </row>
    <row r="31" spans="1:6">
      <c r="A31" t="s">
        <v>900</v>
      </c>
      <c r="B31" s="120">
        <f>'Cash Flow Statement'!B48</f>
        <v>212432.04530273983</v>
      </c>
      <c r="C31" s="120">
        <f>'Cash Flow Statement'!C48</f>
        <v>2242807.5351</v>
      </c>
      <c r="D31" s="120">
        <f>'Cash Flow Statement'!D48</f>
        <v>1157731.0626794514</v>
      </c>
      <c r="E31" s="120">
        <f>'Cash Flow Statement'!E48</f>
        <v>15388474.421541151</v>
      </c>
      <c r="F31" s="120">
        <f>'Cash Flow Statement'!F48</f>
        <v>17747144.111822635</v>
      </c>
    </row>
    <row r="32" spans="1:6">
      <c r="A32" s="1" t="s">
        <v>901</v>
      </c>
      <c r="B32" s="4">
        <f>IF(B30&lt;=0,0,B31/B30)</f>
        <v>10.810774389198802</v>
      </c>
      <c r="C32" s="4">
        <f>IF(C30&lt;=0,0,C31/C30)</f>
        <v>31.309961569357256</v>
      </c>
      <c r="D32" s="4">
        <f>IF(D30&lt;=0,0,D31/D30)</f>
        <v>15.277110698200701</v>
      </c>
      <c r="E32" s="4">
        <f>IF(E30&lt;=0,0,E31/E30)</f>
        <v>368.86351575487009</v>
      </c>
      <c r="F32" s="4">
        <f>IF(F30&lt;=0,0,F31/F30)</f>
        <v>0</v>
      </c>
    </row>
    <row r="34" spans="1:1">
      <c r="A34" s="126" t="s">
        <v>926</v>
      </c>
    </row>
  </sheetData>
  <mergeCells count="1">
    <mergeCell ref="A1:F1"/>
  </mergeCells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CF5D-8E0E-4CDE-B7A5-84427A1FABAC}">
  <sheetPr>
    <tabColor rgb="FF92D050"/>
  </sheetPr>
  <dimension ref="A1:G16"/>
  <sheetViews>
    <sheetView workbookViewId="0">
      <selection activeCell="C5" sqref="C5"/>
    </sheetView>
  </sheetViews>
  <sheetFormatPr defaultColWidth="8.81640625" defaultRowHeight="19.5"/>
  <cols>
    <col min="1" max="1" width="47.26953125" style="37" customWidth="1"/>
    <col min="2" max="2" width="19.7265625" style="38" bestFit="1" customWidth="1"/>
    <col min="3" max="3" width="17.81640625" style="38" bestFit="1" customWidth="1"/>
    <col min="4" max="4" width="18.7265625" style="38" bestFit="1" customWidth="1"/>
    <col min="5" max="5" width="19.26953125" style="38" bestFit="1" customWidth="1"/>
    <col min="6" max="6" width="20.7265625" style="38" bestFit="1" customWidth="1"/>
    <col min="7" max="8" width="19.26953125" style="37" bestFit="1" customWidth="1"/>
    <col min="9" max="9" width="12" style="37" customWidth="1"/>
    <col min="10" max="10" width="6" style="37" customWidth="1"/>
    <col min="11" max="16384" width="8.81640625" style="37"/>
  </cols>
  <sheetData>
    <row r="1" spans="1:7" s="36" customFormat="1" ht="35" customHeight="1">
      <c r="A1" s="197" t="s">
        <v>917</v>
      </c>
      <c r="B1" s="197"/>
      <c r="C1" s="197"/>
      <c r="D1" s="197"/>
      <c r="E1" s="197"/>
      <c r="F1" s="197"/>
      <c r="G1" s="197"/>
    </row>
    <row r="2" spans="1:7" s="34" customFormat="1" ht="22.15" customHeight="1">
      <c r="A2"/>
      <c r="B2"/>
      <c r="C2"/>
      <c r="D2"/>
      <c r="E2"/>
      <c r="F2"/>
      <c r="G2"/>
    </row>
    <row r="3" spans="1:7" s="34" customFormat="1" ht="22.15" customHeight="1">
      <c r="A3"/>
      <c r="B3" s="115">
        <v>2026</v>
      </c>
      <c r="C3" s="115">
        <v>2027</v>
      </c>
      <c r="D3" s="115">
        <v>2028</v>
      </c>
      <c r="E3" s="115">
        <v>2029</v>
      </c>
      <c r="F3" s="115">
        <v>2030</v>
      </c>
      <c r="G3" s="116" t="s">
        <v>10</v>
      </c>
    </row>
    <row r="4" spans="1:7" s="39" customFormat="1" ht="25.9" customHeight="1">
      <c r="A4" s="1" t="s">
        <v>918</v>
      </c>
      <c r="B4" s="120">
        <f>'Balance Sheet'!B43</f>
        <v>0</v>
      </c>
      <c r="C4" s="120">
        <f>'Balance Sheet'!C43</f>
        <v>0</v>
      </c>
      <c r="D4" s="120">
        <f>'Balance Sheet'!D43</f>
        <v>0</v>
      </c>
      <c r="E4" s="120">
        <f>'Balance Sheet'!E43</f>
        <v>0</v>
      </c>
      <c r="F4" s="120">
        <f>'Balance Sheet'!F43</f>
        <v>0</v>
      </c>
      <c r="G4" t="str">
        <f t="shared" ref="G4:G9" si="0">IF(SUM(B4:F4)=0,"✓ PASS","✗ FAIL")</f>
        <v>✓ PASS</v>
      </c>
    </row>
    <row r="5" spans="1:7" s="34" customFormat="1" ht="22.15" customHeight="1">
      <c r="A5" s="1" t="s">
        <v>919</v>
      </c>
      <c r="B5" s="120">
        <f>'Cash Flow Statement'!B48-'Balance Sheet'!B8</f>
        <v>0</v>
      </c>
      <c r="C5" s="120">
        <f>'Cash Flow Statement'!C48-'Balance Sheet'!C8</f>
        <v>0</v>
      </c>
      <c r="D5" s="120">
        <f>'Cash Flow Statement'!D48-'Balance Sheet'!D8</f>
        <v>0</v>
      </c>
      <c r="E5" s="120">
        <f>'Cash Flow Statement'!E48-'Balance Sheet'!E8</f>
        <v>0</v>
      </c>
      <c r="F5" s="120">
        <f>'Cash Flow Statement'!F48-'Balance Sheet'!F8</f>
        <v>0</v>
      </c>
      <c r="G5" t="str">
        <f t="shared" si="0"/>
        <v>✓ PASS</v>
      </c>
    </row>
    <row r="6" spans="1:7" s="34" customFormat="1" ht="22.15" customHeight="1">
      <c r="A6" s="1" t="s">
        <v>920</v>
      </c>
      <c r="B6" s="120">
        <f>'Statement of Retained Earnings'!B15</f>
        <v>0</v>
      </c>
      <c r="C6" s="120">
        <f>'Statement of Retained Earnings'!C15</f>
        <v>0</v>
      </c>
      <c r="D6" s="120">
        <f>'Statement of Retained Earnings'!D15</f>
        <v>0</v>
      </c>
      <c r="E6" s="120">
        <f>'Statement of Retained Earnings'!E15</f>
        <v>0</v>
      </c>
      <c r="F6" s="120">
        <f>'Statement of Retained Earnings'!F15</f>
        <v>0</v>
      </c>
      <c r="G6" t="str">
        <f t="shared" si="0"/>
        <v>✓ PASS</v>
      </c>
    </row>
    <row r="7" spans="1:7" s="34" customFormat="1" ht="22.15" customHeight="1">
      <c r="A7" s="1" t="s">
        <v>997</v>
      </c>
      <c r="B7" s="120">
        <f>'Income Statement'!B10-'Yearly Summary'!B17</f>
        <v>0</v>
      </c>
      <c r="C7" s="120">
        <f>'Income Statement'!C10-'Yearly Summary'!C17</f>
        <v>0</v>
      </c>
      <c r="D7" s="120">
        <f>'Income Statement'!D10-'Yearly Summary'!D17</f>
        <v>0</v>
      </c>
      <c r="E7" s="120">
        <f>'Income Statement'!E10-'Yearly Summary'!E17</f>
        <v>0</v>
      </c>
      <c r="F7" s="120">
        <f>'Income Statement'!F10-'Yearly Summary'!F17</f>
        <v>0</v>
      </c>
      <c r="G7" t="str">
        <f t="shared" si="0"/>
        <v>✓ PASS</v>
      </c>
    </row>
    <row r="8" spans="1:7" s="34" customFormat="1" ht="22.15" customHeight="1">
      <c r="A8" s="1" t="s">
        <v>998</v>
      </c>
      <c r="B8" s="120">
        <f>'Operating Expenses'!B34+'Income Statement'!B22-'Income Statement'!B23</f>
        <v>0</v>
      </c>
      <c r="C8" s="120">
        <f>'Operating Expenses'!C34+'Income Statement'!C22-'Income Statement'!C23</f>
        <v>0</v>
      </c>
      <c r="D8" s="120">
        <f>'Operating Expenses'!D34+'Income Statement'!D22-'Income Statement'!D23</f>
        <v>0</v>
      </c>
      <c r="E8" s="120">
        <f>'Operating Expenses'!E34+'Income Statement'!E22-'Income Statement'!E23</f>
        <v>0</v>
      </c>
      <c r="F8" s="120">
        <f>'Operating Expenses'!F34+'Income Statement'!F22-'Income Statement'!F23</f>
        <v>0</v>
      </c>
      <c r="G8" t="str">
        <f t="shared" si="0"/>
        <v>✓ PASS</v>
      </c>
    </row>
    <row r="9" spans="1:7" s="34" customFormat="1" ht="22.15" customHeight="1">
      <c r="A9" s="1" t="s">
        <v>999</v>
      </c>
      <c r="B9" s="3">
        <f>'Yearly Summary'!B9-('Unit Economics'!B4)</f>
        <v>0</v>
      </c>
      <c r="C9" s="5">
        <f>'Yearly Summary'!C9-('Unit Economics'!C4)</f>
        <v>0</v>
      </c>
      <c r="D9" s="5">
        <f>'Yearly Summary'!D9-('Unit Economics'!D4)</f>
        <v>0</v>
      </c>
      <c r="E9" s="5">
        <f>'Yearly Summary'!E9-('Unit Economics'!E4)</f>
        <v>0</v>
      </c>
      <c r="F9" s="5">
        <f>'Yearly Summary'!F9-('Unit Economics'!F4)</f>
        <v>0</v>
      </c>
      <c r="G9" t="str">
        <f t="shared" si="0"/>
        <v>✓ PASS</v>
      </c>
    </row>
    <row r="10" spans="1:7" s="39" customFormat="1" ht="25.9" customHeight="1">
      <c r="A10" s="1" t="s">
        <v>921</v>
      </c>
      <c r="B10" s="119">
        <f>'Income Statement'!B16</f>
        <v>0.89255246741261385</v>
      </c>
      <c r="C10" s="119">
        <f>'Income Statement'!C16</f>
        <v>0.89520111503186606</v>
      </c>
      <c r="D10" s="119">
        <f>'Income Statement'!D16</f>
        <v>0.89376115335890849</v>
      </c>
      <c r="E10" s="119">
        <f>'Income Statement'!E16</f>
        <v>0.8923375269766799</v>
      </c>
      <c r="F10" s="119">
        <f>'Income Statement'!F16</f>
        <v>0.88792010689480616</v>
      </c>
      <c r="G10" t="str">
        <f>IF(AND(MIN(B10:F10)&gt;=0.6,MAX(B10:F10)&lt;=0.95),"✓ PASS","⚠ FLAG")</f>
        <v>✓ PASS</v>
      </c>
    </row>
    <row r="11" spans="1:7" s="39" customFormat="1" ht="25.9" customHeight="1">
      <c r="A11" s="1" t="s">
        <v>1000</v>
      </c>
      <c r="B11" s="119">
        <f>'Cash Flow Statement'!B33-Assumptions!B103</f>
        <v>0</v>
      </c>
      <c r="C11" s="119">
        <f>'Cash Flow Statement'!C33-Assumptions!B104</f>
        <v>0</v>
      </c>
      <c r="D11" s="119">
        <v>0</v>
      </c>
      <c r="E11" s="119">
        <f>'Cash Flow Statement'!E33-Assumptions!B105</f>
        <v>0</v>
      </c>
      <c r="F11" s="119">
        <v>0</v>
      </c>
      <c r="G11" t="str">
        <f>IF(SUM(B11:F11)=0,"✓ PASS","✗ FAIL")</f>
        <v>✓ PASS</v>
      </c>
    </row>
    <row r="12" spans="1:7" s="39" customFormat="1" ht="25.9" customHeight="1">
      <c r="A12" s="1" t="s">
        <v>1001</v>
      </c>
      <c r="B12" s="119">
        <f>Personnel!J47-(Personnel!J9+Personnel!J18+Personnel!J23+Personnel!J30+Personnel!J36+Personnel!J43)</f>
        <v>0</v>
      </c>
      <c r="C12" s="119">
        <f>Personnel!K47-(Personnel!K9+Personnel!K18+Personnel!K23+Personnel!K30+Personnel!K36+Personnel!K43)</f>
        <v>0</v>
      </c>
      <c r="D12" s="119">
        <f>Personnel!L47-(Personnel!L9+Personnel!L18+Personnel!L23+Personnel!L30+Personnel!L36+Personnel!L43)</f>
        <v>0</v>
      </c>
      <c r="E12" s="119">
        <f>Personnel!M47-(Personnel!M9+Personnel!M18+Personnel!M23+Personnel!M30+Personnel!M36+Personnel!M43)</f>
        <v>0</v>
      </c>
      <c r="F12" s="119">
        <f>Personnel!N47-(Personnel!N9+Personnel!N18+Personnel!N23+Personnel!N30+Personnel!N36+Personnel!N43)</f>
        <v>0</v>
      </c>
      <c r="G12" t="str">
        <f>IF(SUM(B12:F12)=0,"✓ PASS","✗ FAIL")</f>
        <v>✓ PASS</v>
      </c>
    </row>
    <row r="13" spans="1:7" s="39" customFormat="1" ht="25.9" customHeight="1">
      <c r="A13" s="1" t="s">
        <v>1002</v>
      </c>
      <c r="B13" s="119">
        <f>Funding!B26-1</f>
        <v>0</v>
      </c>
      <c r="C13" s="119">
        <f>Funding!C26-1</f>
        <v>0</v>
      </c>
      <c r="D13" s="119">
        <f>Funding!D26-1</f>
        <v>0</v>
      </c>
      <c r="E13" s="119">
        <f>Funding!E26-1</f>
        <v>0</v>
      </c>
      <c r="F13" s="119"/>
      <c r="G13" t="str">
        <f>IF(ROUND(SUM(B13:E13),6)=0,"✓ PASS","✗ FAIL")</f>
        <v>✓ PASS</v>
      </c>
    </row>
    <row r="14" spans="1:7" s="39" customFormat="1" ht="25.9" customHeight="1">
      <c r="A14" s="1" t="s">
        <v>1003</v>
      </c>
      <c r="B14" s="119">
        <f>'Balance Sheet'!B37-(Assumptions!B103+'Income Statement'!B22)</f>
        <v>0</v>
      </c>
      <c r="C14" s="119">
        <f>'Balance Sheet'!C37-('Balance Sheet'!B37+Assumptions!B104+'Income Statement'!C22)</f>
        <v>0</v>
      </c>
      <c r="D14" s="119">
        <f>'Balance Sheet'!D37-('Balance Sheet'!C37+'Income Statement'!D22)</f>
        <v>0</v>
      </c>
      <c r="E14" s="119">
        <f>'Balance Sheet'!E37-('Balance Sheet'!D37+Assumptions!B105+'Income Statement'!E22)</f>
        <v>0</v>
      </c>
      <c r="F14" s="119">
        <f>'Balance Sheet'!F37-('Balance Sheet'!E37+'Income Statement'!F22)</f>
        <v>0</v>
      </c>
      <c r="G14" t="str">
        <f>IF(ROUND(SUM(B14:F14),2)=0,"✓ PASS","✗ FAIL")</f>
        <v>✓ PASS</v>
      </c>
    </row>
    <row r="15" spans="1:7" s="34" customFormat="1" ht="22.15" customHeight="1">
      <c r="A15"/>
      <c r="B15"/>
      <c r="C15"/>
      <c r="D15"/>
      <c r="E15"/>
      <c r="F15"/>
      <c r="G15"/>
    </row>
    <row r="16" spans="1:7" s="34" customFormat="1" ht="22.15" customHeight="1">
      <c r="A16" s="2" t="s">
        <v>922</v>
      </c>
      <c r="B16" s="2" t="str">
        <f>IF(COUNTIF(G4:G14,"✗ FAIL")=0,"ALL CHECKS PASS","ERRORS DETECTED")</f>
        <v>ALL CHECKS PASS</v>
      </c>
      <c r="C16"/>
      <c r="D16"/>
      <c r="E16"/>
      <c r="F16"/>
      <c r="G16"/>
    </row>
  </sheetData>
  <mergeCells count="1">
    <mergeCell ref="A1:G1"/>
  </mergeCells>
  <phoneticPr fontId="3" type="noConversion"/>
  <pageMargins left="0.75" right="0.75" top="1" bottom="1" header="0.5" footer="0.5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B25D-9B16-4246-B2E4-9E0867B5A8F4}">
  <sheetPr codeName="Sheet7"/>
  <dimension ref="A1:F50"/>
  <sheetViews>
    <sheetView workbookViewId="0">
      <selection activeCell="C5" sqref="C5"/>
    </sheetView>
  </sheetViews>
  <sheetFormatPr defaultRowHeight="14.5"/>
  <cols>
    <col min="1" max="1" width="40" customWidth="1"/>
    <col min="2" max="5" width="21.81640625" customWidth="1"/>
    <col min="6" max="6" width="50.90625" customWidth="1"/>
  </cols>
  <sheetData>
    <row r="1" spans="1:6" ht="35" customHeight="1">
      <c r="A1" s="197" t="s">
        <v>875</v>
      </c>
      <c r="B1" s="197"/>
      <c r="C1" s="197"/>
      <c r="D1" s="197"/>
      <c r="E1" s="197"/>
      <c r="F1" s="190"/>
    </row>
    <row r="3" spans="1:6">
      <c r="A3" s="111" t="s">
        <v>368</v>
      </c>
    </row>
    <row r="4" spans="1:6">
      <c r="A4" s="116" t="s">
        <v>66</v>
      </c>
      <c r="B4" s="116" t="s">
        <v>22</v>
      </c>
      <c r="C4" s="116" t="s">
        <v>23</v>
      </c>
      <c r="D4" s="116" t="s">
        <v>24</v>
      </c>
      <c r="E4" s="188" t="s">
        <v>979</v>
      </c>
      <c r="F4" s="188" t="s">
        <v>56</v>
      </c>
    </row>
    <row r="5" spans="1:6">
      <c r="A5" t="s">
        <v>876</v>
      </c>
      <c r="B5" s="189">
        <v>0.6</v>
      </c>
      <c r="C5" s="189">
        <v>1</v>
      </c>
      <c r="D5" s="189">
        <v>1.4</v>
      </c>
      <c r="E5" s="189">
        <v>0.3</v>
      </c>
      <c r="F5" s="58" t="s">
        <v>980</v>
      </c>
    </row>
    <row r="6" spans="1:6">
      <c r="A6" t="s">
        <v>877</v>
      </c>
      <c r="B6" s="189">
        <v>1.5</v>
      </c>
      <c r="C6" s="189">
        <v>1</v>
      </c>
      <c r="D6" s="189">
        <v>0.7</v>
      </c>
      <c r="E6" s="189">
        <v>2</v>
      </c>
      <c r="F6" s="58" t="s">
        <v>981</v>
      </c>
    </row>
    <row r="7" spans="1:6">
      <c r="A7" t="s">
        <v>878</v>
      </c>
      <c r="B7" s="189">
        <v>1.3</v>
      </c>
      <c r="C7" s="189">
        <v>1</v>
      </c>
      <c r="D7" s="189">
        <v>0.7</v>
      </c>
      <c r="E7" s="189">
        <v>1.5</v>
      </c>
      <c r="F7" s="58" t="s">
        <v>982</v>
      </c>
    </row>
    <row r="8" spans="1:6">
      <c r="A8" t="s">
        <v>879</v>
      </c>
      <c r="B8" s="189">
        <v>0.8</v>
      </c>
      <c r="C8" s="189">
        <v>1</v>
      </c>
      <c r="D8" s="189">
        <v>1.2</v>
      </c>
      <c r="E8" s="189">
        <v>0.6</v>
      </c>
      <c r="F8" s="58" t="s">
        <v>983</v>
      </c>
    </row>
    <row r="9" spans="1:6">
      <c r="A9" t="s">
        <v>880</v>
      </c>
      <c r="B9" s="189">
        <v>0.7</v>
      </c>
      <c r="C9" s="189">
        <v>1</v>
      </c>
      <c r="D9" s="189">
        <v>1.3</v>
      </c>
      <c r="E9" s="189">
        <v>0.5</v>
      </c>
      <c r="F9" s="58" t="s">
        <v>984</v>
      </c>
    </row>
    <row r="11" spans="1:6">
      <c r="A11" s="111" t="s">
        <v>369</v>
      </c>
    </row>
    <row r="12" spans="1:6">
      <c r="A12" s="1" t="s">
        <v>399</v>
      </c>
    </row>
    <row r="13" spans="1:6">
      <c r="A13" t="s">
        <v>881</v>
      </c>
      <c r="B13" s="5">
        <f>'Yearly Summary'!B9*$B$5*(1/$B$6)</f>
        <v>46</v>
      </c>
      <c r="C13" s="5">
        <f>'Yearly Summary'!B9</f>
        <v>115</v>
      </c>
      <c r="D13" s="5">
        <f>'Yearly Summary'!B9*$D$5*(1/$D$6)</f>
        <v>230</v>
      </c>
      <c r="E13" s="5">
        <f>'Yearly Summary'!B9*$E$5*(1/$E$6)</f>
        <v>17.25</v>
      </c>
    </row>
    <row r="14" spans="1:6">
      <c r="A14" t="s">
        <v>0</v>
      </c>
      <c r="B14" s="3">
        <f>'Income Statement'!B10*$B$5*$B$8*$B$9</f>
        <v>131797.008</v>
      </c>
      <c r="C14" s="3">
        <f>'Income Statement'!B10</f>
        <v>392253</v>
      </c>
      <c r="D14" s="3">
        <f>'Income Statement'!B10*$D$5*$D$8*$D$9</f>
        <v>856680.55199999991</v>
      </c>
      <c r="E14" s="3">
        <f>'Income Statement'!B10*$E$5*$E$8*$E$9</f>
        <v>35302.769999999997</v>
      </c>
    </row>
    <row r="16" spans="1:6">
      <c r="A16" s="1" t="s">
        <v>400</v>
      </c>
    </row>
    <row r="17" spans="1:5">
      <c r="A17" t="s">
        <v>881</v>
      </c>
      <c r="B17" s="5">
        <f>'Yearly Summary'!C9*$B$5*(1/$B$6)</f>
        <v>118</v>
      </c>
      <c r="C17" s="5">
        <f>'Yearly Summary'!C9</f>
        <v>295</v>
      </c>
      <c r="D17" s="5">
        <f>'Yearly Summary'!C9*$D$5*(1/$D$6)</f>
        <v>590</v>
      </c>
      <c r="E17" s="5">
        <f>'Yearly Summary'!C9*$E$5*(1/$E$6)</f>
        <v>44.25</v>
      </c>
    </row>
    <row r="18" spans="1:5">
      <c r="A18" t="s">
        <v>0</v>
      </c>
      <c r="B18" s="3">
        <f>'Income Statement'!C10*$B$5*$B$8*$B$9</f>
        <v>392400.62400000001</v>
      </c>
      <c r="C18" s="3">
        <f>'Income Statement'!C10</f>
        <v>1167859</v>
      </c>
      <c r="D18" s="3">
        <f>'Income Statement'!C10*$D$5*$D$8*$D$9</f>
        <v>2550604.0559999994</v>
      </c>
      <c r="E18" s="3">
        <f>'Income Statement'!C10*$E$5*$E$8*$E$9</f>
        <v>105107.31</v>
      </c>
    </row>
    <row r="20" spans="1:5">
      <c r="A20" s="1" t="s">
        <v>401</v>
      </c>
    </row>
    <row r="21" spans="1:5">
      <c r="A21" t="s">
        <v>881</v>
      </c>
      <c r="B21" s="5">
        <f>'Yearly Summary'!D9*$B$5*(1/$B$6)</f>
        <v>296</v>
      </c>
      <c r="C21" s="5">
        <f>'Yearly Summary'!D9</f>
        <v>740</v>
      </c>
      <c r="D21" s="5">
        <f>'Yearly Summary'!D9*$D$5*(1/$D$6)</f>
        <v>1480</v>
      </c>
      <c r="E21" s="5">
        <f>'Yearly Summary'!D9*$E$5*(1/$E$6)</f>
        <v>111</v>
      </c>
    </row>
    <row r="22" spans="1:5">
      <c r="A22" t="s">
        <v>0</v>
      </c>
      <c r="B22" s="3">
        <f>'Income Statement'!D10*$B$5*$B$8*$B$9</f>
        <v>1127746.368</v>
      </c>
      <c r="C22" s="3">
        <f>'Income Statement'!D10</f>
        <v>3356388</v>
      </c>
      <c r="D22" s="3">
        <f>'Income Statement'!D10*$D$5*$D$8*$D$9</f>
        <v>7330351.3919999991</v>
      </c>
      <c r="E22" s="3">
        <f>'Income Statement'!D10*$E$5*$E$8*$E$9</f>
        <v>302074.92</v>
      </c>
    </row>
    <row r="24" spans="1:5">
      <c r="A24" s="1" t="s">
        <v>402</v>
      </c>
    </row>
    <row r="25" spans="1:5">
      <c r="A25" t="s">
        <v>881</v>
      </c>
      <c r="B25" s="5">
        <f>'Yearly Summary'!E9*$B$5*(1/$B$6)</f>
        <v>592</v>
      </c>
      <c r="C25" s="5">
        <f>'Yearly Summary'!E9</f>
        <v>1480</v>
      </c>
      <c r="D25" s="5">
        <f>'Yearly Summary'!E9*$D$5*(1/$D$6)</f>
        <v>2960</v>
      </c>
      <c r="E25" s="5">
        <f>'Yearly Summary'!E9*$E$5*(1/$E$6)</f>
        <v>222</v>
      </c>
    </row>
    <row r="26" spans="1:5">
      <c r="A26" t="s">
        <v>0</v>
      </c>
      <c r="B26" s="3">
        <f>'Income Statement'!E10*$B$5*$B$8*$B$9</f>
        <v>2448692.736</v>
      </c>
      <c r="C26" s="3">
        <f>'Income Statement'!E10</f>
        <v>7287776</v>
      </c>
      <c r="D26" s="3">
        <f>'Income Statement'!E10*$D$5*$D$8*$D$9</f>
        <v>15916502.783999998</v>
      </c>
      <c r="E26" s="3">
        <f>'Income Statement'!E10*$E$5*$E$8*$E$9</f>
        <v>655899.84</v>
      </c>
    </row>
    <row r="28" spans="1:5">
      <c r="A28" s="1" t="s">
        <v>403</v>
      </c>
    </row>
    <row r="29" spans="1:5">
      <c r="A29" t="s">
        <v>881</v>
      </c>
      <c r="B29" s="5">
        <f>'Yearly Summary'!F9*$B$5*(1/$B$6)</f>
        <v>1184</v>
      </c>
      <c r="C29" s="5">
        <f>'Yearly Summary'!F9</f>
        <v>2960</v>
      </c>
      <c r="D29" s="5">
        <f>'Yearly Summary'!F9*$D$5*(1/$D$6)</f>
        <v>5920</v>
      </c>
      <c r="E29" s="5">
        <f>'Yearly Summary'!F9*$E$5*(1/$E$6)</f>
        <v>444</v>
      </c>
    </row>
    <row r="30" spans="1:5">
      <c r="A30" t="s">
        <v>0</v>
      </c>
      <c r="B30" s="3">
        <f>'Income Statement'!F10*$B$5*$B$8*$B$9</f>
        <v>5450945.4720000001</v>
      </c>
      <c r="C30" s="3">
        <f>'Income Statement'!F10</f>
        <v>16223052</v>
      </c>
      <c r="D30" s="3">
        <f>'Income Statement'!F10*$D$5*$D$8*$D$9</f>
        <v>35431145.567999996</v>
      </c>
      <c r="E30" s="3">
        <f>'Income Statement'!F10*$E$5*$E$8*$E$9</f>
        <v>1460074.68</v>
      </c>
    </row>
    <row r="32" spans="1:5">
      <c r="A32" s="111" t="s">
        <v>882</v>
      </c>
    </row>
    <row r="33" spans="1:5">
      <c r="A33" s="116" t="s">
        <v>72</v>
      </c>
      <c r="B33" s="116" t="s">
        <v>22</v>
      </c>
      <c r="C33" s="116" t="s">
        <v>23</v>
      </c>
      <c r="D33" s="116" t="s">
        <v>24</v>
      </c>
      <c r="E33" s="116" t="s">
        <v>979</v>
      </c>
    </row>
    <row r="34" spans="1:5">
      <c r="A34" t="s">
        <v>883</v>
      </c>
      <c r="B34" s="3">
        <f>SUM('Income Statement'!B10:'Income Statement'!F10)*$B$5*$B$8*$B$9</f>
        <v>9551582.2080000006</v>
      </c>
      <c r="C34" s="3">
        <f>SUM('Income Statement'!B10:'Income Statement'!F10)</f>
        <v>28427328</v>
      </c>
      <c r="D34" s="3">
        <f>SUM('Income Statement'!B10:'Income Statement'!F10)*$D$5*$D$8*$D$9</f>
        <v>62085284.351999991</v>
      </c>
      <c r="E34" s="3">
        <f>SUM('Income Statement'!B10:'Income Statement'!F10)*$E$5*$E$8*$E$9</f>
        <v>2558459.52</v>
      </c>
    </row>
    <row r="35" spans="1:5">
      <c r="A35" t="s">
        <v>884</v>
      </c>
      <c r="B35" s="3">
        <f>'Yearly Summary'!F20*$B$5*$B$9</f>
        <v>3790731.84</v>
      </c>
      <c r="C35" s="3">
        <f>'Yearly Summary'!F20</f>
        <v>9025552</v>
      </c>
      <c r="D35" s="3">
        <f>'Yearly Summary'!F20*$D$5*$D$9</f>
        <v>16426504.639999999</v>
      </c>
      <c r="E35" s="3">
        <f>'Yearly Summary'!F20*$E$5*$E$9</f>
        <v>1353832.8</v>
      </c>
    </row>
    <row r="36" spans="1:5">
      <c r="A36" s="1" t="s">
        <v>885</v>
      </c>
      <c r="B36" s="3">
        <f>B35*10</f>
        <v>37907318.399999999</v>
      </c>
      <c r="C36" s="3">
        <f>C35*10</f>
        <v>90255520</v>
      </c>
      <c r="D36" s="3">
        <f>D35*10</f>
        <v>164265046.39999998</v>
      </c>
      <c r="E36" s="3">
        <f>E35*10</f>
        <v>13538328</v>
      </c>
    </row>
    <row r="37" spans="1:5">
      <c r="A37" s="1"/>
      <c r="B37" s="3"/>
      <c r="C37" s="3"/>
      <c r="D37" s="3"/>
    </row>
    <row r="38" spans="1:5">
      <c r="A38" s="111" t="s">
        <v>985</v>
      </c>
      <c r="B38" s="3"/>
      <c r="C38" s="3"/>
      <c r="D38" s="3"/>
    </row>
    <row r="39" spans="1:5">
      <c r="A39" s="1" t="s">
        <v>986</v>
      </c>
      <c r="B39" s="3">
        <f>B30</f>
        <v>5450945.4720000001</v>
      </c>
      <c r="C39" s="3">
        <f>C30</f>
        <v>16223052</v>
      </c>
      <c r="D39" s="3">
        <f>D30</f>
        <v>35431145.567999996</v>
      </c>
      <c r="E39" s="3">
        <f>E30</f>
        <v>1460074.68</v>
      </c>
    </row>
    <row r="40" spans="1:5">
      <c r="A40" s="1" t="s">
        <v>987</v>
      </c>
      <c r="B40" s="3">
        <f>'Income Statement'!F14*$B$7</f>
        <v>2363761.3141999999</v>
      </c>
      <c r="C40" s="3">
        <f>'Income Statement'!F14</f>
        <v>1818277.9339999999</v>
      </c>
      <c r="D40" s="3">
        <f>'Income Statement'!F14*$D$7</f>
        <v>1272794.5537999999</v>
      </c>
      <c r="E40" s="3">
        <f>'Income Statement'!F14*$E$7</f>
        <v>2727416.9009999996</v>
      </c>
    </row>
    <row r="41" spans="1:5">
      <c r="A41" s="1" t="s">
        <v>988</v>
      </c>
      <c r="B41" s="3">
        <f>B39-B40</f>
        <v>3087184.1578000002</v>
      </c>
      <c r="C41" s="3">
        <f>C39-C40</f>
        <v>14404774.066</v>
      </c>
      <c r="D41" s="3">
        <f>D39-D40</f>
        <v>34158351.014199995</v>
      </c>
      <c r="E41" s="3">
        <f>E39-E40</f>
        <v>-1267342.2209999997</v>
      </c>
    </row>
    <row r="42" spans="1:5">
      <c r="A42" s="1" t="s">
        <v>989</v>
      </c>
      <c r="B42" s="3">
        <f>'Income Statement'!F23</f>
        <v>13276807.622720001</v>
      </c>
      <c r="C42" s="3">
        <f>'Income Statement'!F23</f>
        <v>13276807.622720001</v>
      </c>
      <c r="D42" s="3">
        <f>'Income Statement'!F23</f>
        <v>13276807.622720001</v>
      </c>
      <c r="E42" s="3">
        <f>'Income Statement'!F23</f>
        <v>13276807.622720001</v>
      </c>
    </row>
    <row r="43" spans="1:5">
      <c r="A43" s="1" t="s">
        <v>990</v>
      </c>
      <c r="B43" s="3">
        <f>B41-B42</f>
        <v>-10189623.464920001</v>
      </c>
      <c r="C43" s="3">
        <f>C41-C42</f>
        <v>1127966.4432799984</v>
      </c>
      <c r="D43" s="3">
        <f>D41-D42</f>
        <v>20881543.391479991</v>
      </c>
      <c r="E43" s="3">
        <f>E41-E42</f>
        <v>-14544149.84372</v>
      </c>
    </row>
    <row r="44" spans="1:5">
      <c r="A44" s="1" t="s">
        <v>991</v>
      </c>
      <c r="B44" s="119">
        <f>IF(B39=0,0,B43/B39)</f>
        <v>-1.869331387969533</v>
      </c>
      <c r="C44" s="119">
        <f>IF(C39=0,0,C43/C39)</f>
        <v>6.952862157379501E-2</v>
      </c>
      <c r="D44" s="119">
        <f>IF(D39=0,0,D43/D39)</f>
        <v>0.58935558127534471</v>
      </c>
      <c r="E44" s="119">
        <f>IF(E39=0,0,E43/E39)</f>
        <v>-9.9612369442089097</v>
      </c>
    </row>
    <row r="45" spans="1:5">
      <c r="A45" s="1"/>
      <c r="B45" s="3"/>
      <c r="C45" s="3"/>
      <c r="D45" s="3"/>
    </row>
    <row r="46" spans="1:5">
      <c r="A46" s="111" t="s">
        <v>992</v>
      </c>
      <c r="B46" s="3"/>
      <c r="C46" s="3"/>
      <c r="D46" s="3"/>
    </row>
    <row r="47" spans="1:5">
      <c r="A47" s="1" t="s">
        <v>993</v>
      </c>
      <c r="B47" s="3">
        <v>18500000</v>
      </c>
      <c r="C47" s="3">
        <v>18500000</v>
      </c>
      <c r="D47" s="3">
        <v>18500000</v>
      </c>
      <c r="E47" s="3">
        <v>18500000</v>
      </c>
    </row>
    <row r="48" spans="1:5">
      <c r="A48" s="1" t="s">
        <v>994</v>
      </c>
      <c r="B48" s="3">
        <f>B34-SUM('Income Statement'!B14:'Income Statement'!F14)*$B$7-SUM('Income Statement'!B23:'Income Statement'!F23)</f>
        <v>-23259133.360020004</v>
      </c>
      <c r="C48" s="3">
        <f>C34-SUM('Income Statement'!B14:'Income Statement'!F14)-SUM('Income Statement'!B23:'Income Statement'!F23)</f>
        <v>-3446183.4733200036</v>
      </c>
      <c r="D48" s="3">
        <f>D34-SUM('Income Statement'!B14:'Income Statement'!F14)*$D$7-SUM('Income Statement'!B23:'Income Statement'!F23)</f>
        <v>31148976.973379984</v>
      </c>
      <c r="E48" s="3">
        <f>E34-SUM('Income Statement'!B14:'Income Statement'!F14)*$E$7-SUM('Income Statement'!B23:'Income Statement'!F23)</f>
        <v>-30877058.777820002</v>
      </c>
    </row>
    <row r="49" spans="1:5">
      <c r="A49" s="1" t="s">
        <v>995</v>
      </c>
      <c r="B49" s="110">
        <f>B47+B48</f>
        <v>-4759133.3600200042</v>
      </c>
      <c r="C49" s="110">
        <f>C47+C48</f>
        <v>15053816.526679996</v>
      </c>
      <c r="D49" s="110">
        <f>D47+D48</f>
        <v>49648976.973379984</v>
      </c>
      <c r="E49" s="110">
        <f>E47+E48</f>
        <v>-12377058.777820002</v>
      </c>
    </row>
    <row r="50" spans="1:5">
      <c r="A50" s="1" t="s">
        <v>996</v>
      </c>
      <c r="B50" s="1" t="str">
        <f>IF(B49&gt;0,"SOLVENT","CASH OUT")</f>
        <v>CASH OUT</v>
      </c>
      <c r="C50" s="1" t="str">
        <f>IF(C49&gt;0,"SOLVENT","CASH OUT")</f>
        <v>SOLVENT</v>
      </c>
      <c r="D50" s="1" t="str">
        <f>IF(D49&gt;0,"SOLVENT","CASH OUT")</f>
        <v>SOLVENT</v>
      </c>
      <c r="E50" s="1" t="str">
        <f>IF(E49&gt;0,"SOLVENT","CASH OUT")</f>
        <v>CASH OUT</v>
      </c>
    </row>
  </sheetData>
  <mergeCells count="1">
    <mergeCell ref="A1:E1"/>
  </mergeCells>
  <conditionalFormatting sqref="B44:E44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B50:E50">
    <cfRule type="containsText" dxfId="1" priority="1" operator="containsText" text="CASH OUT">
      <formula>NOT(ISERROR(SEARCH("CASH OUT",B50)))</formula>
    </cfRule>
    <cfRule type="containsText" dxfId="0" priority="2" operator="containsText" text="SOLVENT">
      <formula>NOT(ISERROR(SEARCH("SOLVENT",B50)))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4699-8EDD-4C85-BE8B-4600D78A2A6B}">
  <dimension ref="A1:H16"/>
  <sheetViews>
    <sheetView workbookViewId="0">
      <selection activeCell="C5" sqref="C5"/>
    </sheetView>
  </sheetViews>
  <sheetFormatPr defaultColWidth="8.81640625" defaultRowHeight="14"/>
  <cols>
    <col min="1" max="1" width="30" style="7" customWidth="1"/>
    <col min="2" max="2" width="27.26953125" style="7" customWidth="1"/>
    <col min="3" max="16384" width="8.81640625" style="7"/>
  </cols>
  <sheetData>
    <row r="1" spans="1:8" ht="35" customHeight="1">
      <c r="A1" s="197" t="s">
        <v>858</v>
      </c>
      <c r="B1" s="197"/>
      <c r="C1" s="197"/>
      <c r="D1" s="197"/>
      <c r="E1" s="197"/>
      <c r="F1" s="197"/>
      <c r="G1" s="197"/>
      <c r="H1" s="197"/>
    </row>
    <row r="2" spans="1:8" ht="29.5" customHeight="1">
      <c r="A2"/>
      <c r="B2"/>
      <c r="C2"/>
      <c r="D2"/>
      <c r="E2"/>
      <c r="F2"/>
      <c r="G2"/>
      <c r="H2"/>
    </row>
    <row r="3" spans="1:8" ht="25.15" customHeight="1" thickBot="1">
      <c r="A3" s="111" t="s">
        <v>859</v>
      </c>
      <c r="B3"/>
      <c r="C3"/>
      <c r="D3" s="111" t="s">
        <v>872</v>
      </c>
      <c r="E3"/>
      <c r="F3"/>
      <c r="G3"/>
      <c r="H3"/>
    </row>
    <row r="4" spans="1:8" ht="25.15" customHeight="1" thickTop="1">
      <c r="A4" t="s">
        <v>860</v>
      </c>
      <c r="B4" s="128">
        <v>252000000000</v>
      </c>
      <c r="C4"/>
      <c r="D4" s="113">
        <v>2026</v>
      </c>
      <c r="E4" s="113">
        <v>2027</v>
      </c>
      <c r="F4" s="113">
        <v>2028</v>
      </c>
      <c r="G4" s="113">
        <v>2029</v>
      </c>
      <c r="H4" s="113">
        <v>2030</v>
      </c>
    </row>
    <row r="5" spans="1:8" ht="25.15" customHeight="1">
      <c r="A5" t="s">
        <v>861</v>
      </c>
      <c r="B5" s="127">
        <v>480000000000</v>
      </c>
      <c r="C5" t="s">
        <v>873</v>
      </c>
      <c r="D5" s="127">
        <f>B4*1.19</f>
        <v>299880000000</v>
      </c>
      <c r="E5" s="127">
        <f t="shared" ref="E5:H6" si="0">D5*1.19</f>
        <v>356857200000</v>
      </c>
      <c r="F5" s="127">
        <f t="shared" si="0"/>
        <v>424660068000</v>
      </c>
      <c r="G5" s="127">
        <f t="shared" si="0"/>
        <v>505345480920</v>
      </c>
      <c r="H5" s="127">
        <f t="shared" si="0"/>
        <v>601361122294.79993</v>
      </c>
    </row>
    <row r="6" spans="1:8" ht="25.15" customHeight="1" thickBot="1">
      <c r="A6" t="s">
        <v>862</v>
      </c>
      <c r="B6" t="s">
        <v>573</v>
      </c>
      <c r="C6" t="s">
        <v>377</v>
      </c>
      <c r="D6" s="127">
        <f>B11*1.19</f>
        <v>29750000000</v>
      </c>
      <c r="E6" s="127">
        <f t="shared" si="0"/>
        <v>35402500000</v>
      </c>
      <c r="F6" s="127">
        <f t="shared" si="0"/>
        <v>42128975000</v>
      </c>
      <c r="G6" s="127">
        <f t="shared" si="0"/>
        <v>50133480250</v>
      </c>
      <c r="H6" s="127">
        <f t="shared" si="0"/>
        <v>59658841497.5</v>
      </c>
    </row>
    <row r="7" spans="1:8" ht="25.15" customHeight="1" thickTop="1">
      <c r="A7" t="s">
        <v>863</v>
      </c>
      <c r="B7" t="s">
        <v>577</v>
      </c>
      <c r="C7" t="s">
        <v>874</v>
      </c>
      <c r="D7" s="3">
        <f>'Income Statement'!B10</f>
        <v>392253</v>
      </c>
      <c r="E7" s="3">
        <f>'Income Statement'!C10</f>
        <v>1167859</v>
      </c>
      <c r="F7" s="3">
        <f>'Income Statement'!D10</f>
        <v>3356388</v>
      </c>
      <c r="G7" s="3">
        <f>'Income Statement'!E10</f>
        <v>7287776</v>
      </c>
      <c r="H7" s="3">
        <f>'Income Statement'!F10</f>
        <v>16223052</v>
      </c>
    </row>
    <row r="8" spans="1:8" ht="25.15" customHeight="1">
      <c r="A8" s="58" t="s">
        <v>864</v>
      </c>
      <c r="B8"/>
      <c r="C8" t="s">
        <v>4</v>
      </c>
      <c r="D8" s="130">
        <f>D7/D6</f>
        <v>1.3184974789915966E-5</v>
      </c>
      <c r="E8" s="130">
        <f>E7/E6</f>
        <v>3.2988037567968366E-5</v>
      </c>
      <c r="F8" s="130">
        <f>F7/F6</f>
        <v>7.9669348708341471E-5</v>
      </c>
      <c r="G8" s="130">
        <f>G7/G6</f>
        <v>1.4536744633841773E-4</v>
      </c>
      <c r="H8" s="130">
        <f>H7/H6</f>
        <v>2.7193038940724027E-4</v>
      </c>
    </row>
    <row r="9" spans="1:8" ht="25.15" customHeight="1">
      <c r="A9"/>
      <c r="B9"/>
      <c r="C9"/>
      <c r="D9"/>
      <c r="E9"/>
      <c r="F9"/>
      <c r="G9"/>
      <c r="H9"/>
    </row>
    <row r="10" spans="1:8" ht="25.15" customHeight="1">
      <c r="A10" s="111" t="s">
        <v>865</v>
      </c>
      <c r="B10"/>
      <c r="C10"/>
      <c r="D10"/>
      <c r="E10"/>
      <c r="F10"/>
      <c r="G10"/>
      <c r="H10"/>
    </row>
    <row r="11" spans="1:8" ht="25.15" customHeight="1">
      <c r="A11" t="s">
        <v>866</v>
      </c>
      <c r="B11" s="128">
        <v>25000000000</v>
      </c>
      <c r="C11" s="58" t="s">
        <v>867</v>
      </c>
      <c r="D11"/>
      <c r="E11"/>
      <c r="F11"/>
      <c r="G11"/>
      <c r="H11"/>
    </row>
    <row r="12" spans="1:8" ht="25.15" customHeight="1">
      <c r="A12"/>
      <c r="B12"/>
      <c r="C12"/>
      <c r="D12"/>
      <c r="E12"/>
      <c r="F12"/>
      <c r="G12"/>
      <c r="H12"/>
    </row>
    <row r="13" spans="1:8" ht="25.15" customHeight="1" thickBot="1">
      <c r="A13" s="111" t="s">
        <v>868</v>
      </c>
      <c r="B13"/>
      <c r="C13"/>
      <c r="D13"/>
      <c r="E13"/>
      <c r="F13"/>
      <c r="G13"/>
      <c r="H13"/>
    </row>
    <row r="14" spans="1:8" ht="25.15" customHeight="1" thickTop="1">
      <c r="A14" t="s">
        <v>869</v>
      </c>
      <c r="B14" s="129">
        <f>B11*0.015</f>
        <v>375000000</v>
      </c>
      <c r="C14"/>
      <c r="D14"/>
      <c r="E14"/>
      <c r="F14"/>
      <c r="G14"/>
      <c r="H14"/>
    </row>
    <row r="15" spans="1:8" ht="25.15" customHeight="1">
      <c r="A15" t="s">
        <v>870</v>
      </c>
      <c r="B15" s="3">
        <f>'Income Statement'!F10</f>
        <v>16223052</v>
      </c>
      <c r="C15"/>
      <c r="D15"/>
      <c r="E15"/>
      <c r="F15"/>
      <c r="G15"/>
      <c r="H15"/>
    </row>
    <row r="16" spans="1:8" ht="25.15" customHeight="1">
      <c r="A16" t="s">
        <v>871</v>
      </c>
      <c r="B16" s="125">
        <f>B15/B14</f>
        <v>4.3261472000000002E-2</v>
      </c>
      <c r="C16"/>
      <c r="D16"/>
      <c r="E16"/>
      <c r="F16"/>
      <c r="G16"/>
      <c r="H16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30</vt:i4>
      </vt:variant>
    </vt:vector>
  </HeadingPairs>
  <TitlesOfParts>
    <vt:vector size="49" baseType="lpstr">
      <vt:lpstr>Dashboard</vt:lpstr>
      <vt:lpstr>Assumptions</vt:lpstr>
      <vt:lpstr>Income Statement</vt:lpstr>
      <vt:lpstr>Operating Expenses</vt:lpstr>
      <vt:lpstr>Balance Sheet</vt:lpstr>
      <vt:lpstr>Cash Flow Statement</vt:lpstr>
      <vt:lpstr>Personnel</vt:lpstr>
      <vt:lpstr>Rev Model Assumptions</vt:lpstr>
      <vt:lpstr>Cost of Revenue</vt:lpstr>
      <vt:lpstr>API Costs</vt:lpstr>
      <vt:lpstr>LLM Costs</vt:lpstr>
      <vt:lpstr>Yearly Summary</vt:lpstr>
      <vt:lpstr>Statement of Retained Earnings</vt:lpstr>
      <vt:lpstr>Unit Economics</vt:lpstr>
      <vt:lpstr>Break-Even</vt:lpstr>
      <vt:lpstr>Funding</vt:lpstr>
      <vt:lpstr>Summary</vt:lpstr>
      <vt:lpstr>Scenario_Analysis</vt:lpstr>
      <vt:lpstr>TAM</vt:lpstr>
      <vt:lpstr>ChatCAC</vt:lpstr>
      <vt:lpstr>ChatChurn</vt:lpstr>
      <vt:lpstr>ChatPrice</vt:lpstr>
      <vt:lpstr>EntCAC</vt:lpstr>
      <vt:lpstr>EntPrice</vt:lpstr>
      <vt:lpstr>'Operating Expenses'!Print_Area</vt:lpstr>
      <vt:lpstr>ProCAC</vt:lpstr>
      <vt:lpstr>ProChurn</vt:lpstr>
      <vt:lpstr>ProPrice</vt:lpstr>
      <vt:lpstr>Y1ChatMRR</vt:lpstr>
      <vt:lpstr>Y1Growth</vt:lpstr>
      <vt:lpstr>Y1GrowthPro</vt:lpstr>
      <vt:lpstr>Y1ProMRR</vt:lpstr>
      <vt:lpstr>Y1Revenue</vt:lpstr>
      <vt:lpstr>Y2Growth</vt:lpstr>
      <vt:lpstr>Y2GrowthEnterprise</vt:lpstr>
      <vt:lpstr>Y2GrowthPro</vt:lpstr>
      <vt:lpstr>Y2Revenue</vt:lpstr>
      <vt:lpstr>Y3Growth</vt:lpstr>
      <vt:lpstr>Y3GrowthEnterprise</vt:lpstr>
      <vt:lpstr>Y3GrowthPro</vt:lpstr>
      <vt:lpstr>Y3Revenue</vt:lpstr>
      <vt:lpstr>Y4Growth</vt:lpstr>
      <vt:lpstr>Y4GrowthEnterprise</vt:lpstr>
      <vt:lpstr>Y4GrowthPro</vt:lpstr>
      <vt:lpstr>Y4Revenue</vt:lpstr>
      <vt:lpstr>Y5Growth</vt:lpstr>
      <vt:lpstr>Y5GrowthEnterprise</vt:lpstr>
      <vt:lpstr>Y5GrowthPro</vt:lpstr>
      <vt:lpstr>Y5Revenue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Rodriguez</dc:creator>
  <cp:keywords/>
  <dc:description/>
  <cp:lastModifiedBy>Andrew Rodriguez</cp:lastModifiedBy>
  <cp:revision/>
  <dcterms:created xsi:type="dcterms:W3CDTF">2025-06-29T01:32:25Z</dcterms:created>
  <dcterms:modified xsi:type="dcterms:W3CDTF">2026-03-09T19:45:26Z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adb5df3d-b7bc-4a3a-907c-d11e90d2730b</vt:lpwstr>
  </property>
</Properties>
</file>